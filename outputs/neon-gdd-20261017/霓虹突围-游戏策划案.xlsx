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d7d679abd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立项" sheetId="1" r:id="R81295e8493454cad"/>
    <x:sheet xmlns:r="http://schemas.openxmlformats.org/officeDocument/2006/relationships" name="开发里程碑" sheetId="2" r:id="R2ebb338de880443a"/>
    <x:sheet xmlns:r="http://schemas.openxmlformats.org/officeDocument/2006/relationships" name="项目总览" sheetId="3" r:id="R2b51e03422a94bdc"/>
    <x:sheet xmlns:r="http://schemas.openxmlformats.org/officeDocument/2006/relationships" name="系统与流程" sheetId="4" r:id="Rcf17c903a431416b"/>
    <x:sheet xmlns:r="http://schemas.openxmlformats.org/officeDocument/2006/relationships" name="战斗规则详设" sheetId="5" r:id="Rb3ba1a327b5e4b26"/>
    <x:sheet xmlns:r="http://schemas.openxmlformats.org/officeDocument/2006/relationships" name="职业技能" sheetId="6" r:id="R417b057233f244a2"/>
    <x:sheet xmlns:r="http://schemas.openxmlformats.org/officeDocument/2006/relationships" name="枪械数值" sheetId="7" r:id="R76f52f0aaf644715"/>
    <x:sheet xmlns:r="http://schemas.openxmlformats.org/officeDocument/2006/relationships" name="数值验证" sheetId="8" r:id="R5ad235c51deb4904"/>
    <x:sheet xmlns:r="http://schemas.openxmlformats.org/officeDocument/2006/relationships" name="关卡任务" sheetId="9" r:id="R65e80b745f614658"/>
    <x:sheet xmlns:r="http://schemas.openxmlformats.org/officeDocument/2006/relationships" name="关卡分段脚本" sheetId="10" r:id="R2b9aa254e8f04561"/>
    <x:sheet xmlns:r="http://schemas.openxmlformats.org/officeDocument/2006/relationships" name="界面状态表" sheetId="11" r:id="Rbb1a86ad74d045c9"/>
    <x:sheet xmlns:r="http://schemas.openxmlformats.org/officeDocument/2006/relationships" name="美术与交互" sheetId="12" r:id="R63992fcaeaff475a"/>
    <x:sheet xmlns:r="http://schemas.openxmlformats.org/officeDocument/2006/relationships" name="资源制作清单" sheetId="13" r:id="R0dd55798516e4402"/>
    <x:sheet xmlns:r="http://schemas.openxmlformats.org/officeDocument/2006/relationships" name="制作任务WBS" sheetId="14" r:id="Rf51417343ddb4573"/>
    <x:sheet xmlns:r="http://schemas.openxmlformats.org/officeDocument/2006/relationships" name="迭代验收" sheetId="15" r:id="Re07afe2ee5c64b48"/>
    <x:sheet xmlns:r="http://schemas.openxmlformats.org/officeDocument/2006/relationships" name="测试用例" sheetId="16" r:id="R8e307203eefe41cb"/>
    <x:sheet xmlns:r="http://schemas.openxmlformats.org/officeDocument/2006/relationships" name="配置组合矩阵" sheetId="17" r:id="R9b02081cbfbd4888"/>
    <x:sheet xmlns:r="http://schemas.openxmlformats.org/officeDocument/2006/relationships" name="调研与决策" sheetId="18" r:id="Rc4f9f09a4edd43b4"/>
    <x:sheet xmlns:r="http://schemas.openxmlformats.org/officeDocument/2006/relationships" name="发布与运维" sheetId="19" r:id="Rd90b904cf2dc4716"/>
    <x:sheet xmlns:r="http://schemas.openxmlformats.org/officeDocument/2006/relationships" name="配置与依据" sheetId="20" r:id="Rf1d4f946bdd9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%"/>
    <x:numFmt numFmtId="202" formatCode="0"/>
    <x:numFmt numFmtId="203" formatCode="0.000"/>
    <x:numFmt numFmtId="204" formatCode="0.00"/>
    <x:numFmt numFmtId="205" formatCode="yyyy-mm-dd"/>
    <x:numFmt numFmtId="206" formatCode="#,##0.00"/>
    <x:numFmt numFmtId="207" formatCode="General"/>
  </x:numFmts>
  <x:fonts count="7">
    <x:font>
      <x:sz val="11"/>
      <x:name val="Carlito"/>
    </x:font>
    <x:font>
      <x:sz val="11"/>
      <x:color rgb="FF243248"/>
      <x:name val="Arial"/>
    </x:font>
    <x:font>
      <x:b/>
      <x:sz val="17"/>
      <x:color rgb="FF192A43"/>
      <x:name val="Arial"/>
    </x:font>
    <x:font>
      <x:sz val="10"/>
      <x:color rgb="FF68778A"/>
      <x:name val="Arial"/>
    </x:font>
    <x:font>
      <x:b/>
      <x:sz val="11"/>
      <x:color rgb="FFFFFFFF"/>
      <x:name val="Arial"/>
    </x:font>
    <x:font>
      <x:b/>
      <x:sz val="11"/>
      <x:color rgb="FF192A43"/>
      <x:name val="Arial"/>
    </x:font>
    <x:font>
      <x:sz val="10"/>
      <x:color rgb="FF147D9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2A43"/>
      </x:patternFill>
    </x:fill>
    <x:fill>
      <x:patternFill patternType="solid">
        <x:fgColor rgb="FFF1F4F8"/>
      </x:patternFill>
    </x:fill>
    <x:fill>
      <x:patternFill patternType="solid">
        <x:fgColor rgb="FFE8E4F2"/>
      </x:patternFill>
    </x:fill>
    <x:fill>
      <x:patternFill patternType="solid">
        <x:fgColor rgb="FFFFF1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257AB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4" fontId="1" fillId="5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6" fontId="1" fillId="3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1" fillId="3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color rgb="FF256348"/>
      </x:font>
      <x:fill>
        <x:patternFill patternType="solid">
          <x:bgColor rgb="FFE1F2E8"/>
        </x:patternFill>
      </x:fill>
    </x:dxf>
    <x:dxf>
      <x:font>
        <x:color rgb="FFA33131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fc4799ca04546" /><Relationship Type="http://schemas.openxmlformats.org/officeDocument/2006/relationships/theme" Target="/xl/theme/theme1.xml" Id="Rd5b67b3fea0f4e3c" /><Relationship Type="http://schemas.microsoft.com/office/2022/11/relationships/FeaturePropertyBag" Target="/xl/featurePropertyBag/featurePropertyBag.xml" Id="Rebecea76662f4ba8" /><Relationship Type="http://schemas.openxmlformats.org/officeDocument/2006/relationships/sharedStrings" Target="/xl/sharedStrings.xml" Id="R376f8bf124b84776" /><Relationship Type="http://schemas.openxmlformats.org/officeDocument/2006/relationships/worksheet" Target="/xl/worksheets/sheet1.xml" Id="R81295e8493454cad" /><Relationship Type="http://schemas.openxmlformats.org/officeDocument/2006/relationships/worksheet" Target="/xl/worksheets/sheet2.xml" Id="R2ebb338de880443a" /><Relationship Type="http://schemas.openxmlformats.org/officeDocument/2006/relationships/worksheet" Target="/xl/worksheets/sheet3.xml" Id="R2b51e03422a94bdc" /><Relationship Type="http://schemas.openxmlformats.org/officeDocument/2006/relationships/worksheet" Target="/xl/worksheets/sheet4.xml" Id="Rcf17c903a431416b" /><Relationship Type="http://schemas.openxmlformats.org/officeDocument/2006/relationships/worksheet" Target="/xl/worksheets/sheet5.xml" Id="Rb3ba1a327b5e4b26" /><Relationship Type="http://schemas.openxmlformats.org/officeDocument/2006/relationships/worksheet" Target="/xl/worksheets/sheet6.xml" Id="R417b057233f244a2" /><Relationship Type="http://schemas.openxmlformats.org/officeDocument/2006/relationships/worksheet" Target="/xl/worksheets/sheet7.xml" Id="R76f52f0aaf644715" /><Relationship Type="http://schemas.openxmlformats.org/officeDocument/2006/relationships/worksheet" Target="/xl/worksheets/sheet8.xml" Id="R5ad235c51deb4904" /><Relationship Type="http://schemas.openxmlformats.org/officeDocument/2006/relationships/worksheet" Target="/xl/worksheets/sheet9.xml" Id="R65e80b745f614658" /><Relationship Type="http://schemas.openxmlformats.org/officeDocument/2006/relationships/worksheet" Target="/xl/worksheets/sheet10.xml" Id="R2b9aa254e8f04561" /><Relationship Type="http://schemas.openxmlformats.org/officeDocument/2006/relationships/worksheet" Target="/xl/worksheets/sheet11.xml" Id="Rbb1a86ad74d045c9" /><Relationship Type="http://schemas.openxmlformats.org/officeDocument/2006/relationships/worksheet" Target="/xl/worksheets/sheet12.xml" Id="R63992fcaeaff475a" /><Relationship Type="http://schemas.openxmlformats.org/officeDocument/2006/relationships/worksheet" Target="/xl/worksheets/sheet13.xml" Id="R0dd55798516e4402" /><Relationship Type="http://schemas.openxmlformats.org/officeDocument/2006/relationships/worksheet" Target="/xl/worksheets/sheet14.xml" Id="Rf51417343ddb4573" /><Relationship Type="http://schemas.openxmlformats.org/officeDocument/2006/relationships/worksheet" Target="/xl/worksheets/sheet15.xml" Id="Re07afe2ee5c64b48" /><Relationship Type="http://schemas.openxmlformats.org/officeDocument/2006/relationships/worksheet" Target="/xl/worksheets/sheet16.xml" Id="R8e307203eefe41cb" /><Relationship Type="http://schemas.openxmlformats.org/officeDocument/2006/relationships/worksheet" Target="/xl/worksheets/sheet17.xml" Id="R9b02081cbfbd4888" /><Relationship Type="http://schemas.openxmlformats.org/officeDocument/2006/relationships/worksheet" Target="/xl/worksheets/sheet18.xml" Id="Rc4f9f09a4edd43b4" /><Relationship Type="http://schemas.openxmlformats.org/officeDocument/2006/relationships/worksheet" Target="/xl/worksheets/sheet19.xml" Id="Rd90b904cf2dc4716" /><Relationship Type="http://schemas.openxmlformats.org/officeDocument/2006/relationships/worksheet" Target="/xl/worksheets/sheet20.xml" Id="Rf1d4f946bdd94f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A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380000114440918" hidden="0" customWidth="1"/>
    <x:col min="2" max="2" width="21.25" hidden="0" customWidth="1"/>
    <x:col min="3" max="3" width="38.75" hidden="0" customWidth="1"/>
    <x:col min="4" max="4" width="38.75" hidden="0" customWidth="1"/>
    <x:col min="5" max="5" width="30.6299991607666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霓虹突围  制作策划案 R2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修订 R2 / 2026-10-17；游戏事实基线 1.1.1。文档修订不代表游戏已开发新功能。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2" customHeight="1">
      <x:c r="A6" s="9" t="str">
        <x:v>编号</x:v>
      </x:c>
      <x:c r="B6" s="9" t="str">
        <x:v>议题</x:v>
      </x:c>
      <x:c r="C6" s="9" t="str">
        <x:v>项目方案</x:v>
      </x:c>
      <x:c r="D6" s="9" t="str">
        <x:v>本期交付边界</x:v>
      </x:c>
      <x:c r="E6" s="9" t="str">
        <x:v>评审结论或决策条件</x:v>
      </x:c>
      <x:c r="F6" s="9" t="str">
        <x:v>性质</x:v>
      </x:c>
    </x:row>
    <x:row r="7" ht="69" customHeight="1">
      <x:c r="A7" s="12" t="str">
        <x:v>PRD-01</x:v>
      </x:c>
      <x:c r="B7" s="12" t="str">
        <x:v>立项目的</x:v>
      </x:c>
      <x:c r="C7" s="12" t="str">
        <x:v>把可运行的八关原型打磨成可对外稳定试玩的单人动作射击样板。</x:v>
      </x:c>
      <x:c r="D7" s="12" t="str">
        <x:v>不重做引擎，不先扩关；先解决战斗反馈、关卡可读性、可编辑内容和可重复构建。</x:v>
      </x:c>
      <x:c r="E7" s="12" t="str">
        <x:v>以 M1 垂直切片评审决定是否批量制作。</x:v>
      </x:c>
      <x:c r="F7" s="12" t="str">
        <x:v>方案待评审</x:v>
      </x:c>
    </x:row>
    <x:row r="8" ht="69" customHeight="1">
      <x:c r="A8" s="11" t="str">
        <x:v>PRD-02</x:v>
      </x:c>
      <x:c r="B8" s="11" t="str">
        <x:v>一句话体验</x:v>
      </x:c>
      <x:c r="C8" s="11" t="str">
        <x:v>玩家在未来都市中选职业和枪械，以射击、机动和任务路线突破封锁，关闭城市控制中枢。</x:v>
      </x:c>
      <x:c r="D8" s="11" t="str">
        <x:v>四职业、五枪、三难度与八关是现有基线。</x:v>
      </x:c>
      <x:c r="E8" s="11" t="str">
        <x:v>新玩家能在第一关说清当前任务和自己的职业技能。</x:v>
      </x:c>
      <x:c r="F8" s="11" t="str">
        <x:v>定位方案</x:v>
      </x:c>
    </x:row>
    <x:row r="9" ht="69" customHeight="1">
      <x:c r="A9" s="12" t="str">
        <x:v>PRD-03</x:v>
      </x:c>
      <x:c r="B9" s="12" t="str">
        <x:v>核心取舍</x:v>
      </x:c>
      <x:c r="C9" s="12" t="str">
        <x:v>射击负责解决威胁，技能创造窗口，任务要求玩家在清敌和赶路之间选择。</x:v>
      </x:c>
      <x:c r="D9" s="12" t="str">
        <x:v>当前无限弹药、无换弹；暂不加入子弹库存、武器掉落和局内换枪。</x:v>
      </x:c>
      <x:c r="E9" s="12" t="str">
        <x:v>新增机制必须说明解决哪个已观察问题，并评估所有枪械兼容性。</x:v>
      </x:c>
      <x:c r="F9" s="12" t="str">
        <x:v>方案待评审</x:v>
      </x:c>
    </x:row>
    <x:row r="10" ht="69" customHeight="1">
      <x:c r="A10" s="11" t="str">
        <x:v>PRD-04</x:v>
      </x:c>
      <x:c r="B10" s="11" t="str">
        <x:v>主打体验</x:v>
      </x:c>
      <x:c r="C10" s="11" t="str">
        <x:v>固定配装的战术重玩；不同方向的关卡目标；清楚可读的赛博朋克像素表现。</x:v>
      </x:c>
      <x:c r="D10" s="11" t="str">
        <x:v>不以模仿既有作品画面作为验收；角色、场景和界面保持原创资产。</x:v>
      </x:c>
      <x:c r="E10" s="11" t="str">
        <x:v>独立剪影、攻击可预判、机关不靠颜色单独传意。</x:v>
      </x:c>
      <x:c r="F10" s="11" t="str">
        <x:v>产品原则</x:v>
      </x:c>
    </x:row>
    <x:row r="11" ht="69" customHeight="1">
      <x:c r="A11" s="12" t="str">
        <x:v>PRD-05</x:v>
      </x:c>
      <x:c r="B11" s="12" t="str">
        <x:v>目标与非目标</x:v>
      </x:c>
      <x:c r="C11" s="12" t="str">
        <x:v>目标：Windows 和 WebGL 可玩样板。非目标：联网双人、随机地图、装备掉落、商业化系统。</x:v>
      </x:c>
      <x:c r="D11" s="12" t="str">
        <x:v>账号、云存档、手柄、手机触控均未纳入本期。</x:v>
      </x:c>
      <x:c r="E11" s="12" t="str">
        <x:v>若新增平台或商业化，重新审批范围、预算和测试矩阵。</x:v>
      </x:c>
      <x:c r="F11" s="12" t="str">
        <x:v>方案待评审</x:v>
      </x:c>
    </x:row>
    <x:row r="12" ht="69" customHeight="1">
      <x:c r="A12" s="11" t="str">
        <x:v>PRD-06</x:v>
      </x:c>
      <x:c r="B12" s="11" t="str">
        <x:v>叙事设定</x:v>
      </x:c>
      <x:c r="C12" s="11" t="str">
        <x:v>建议：城市中枢以身份和能源配给封锁下城，主角携带停机密钥穿越工业设施。</x:v>
      </x:c>
      <x:c r="D12" s="11" t="str">
        <x:v>以关前一句任务说明和关后一句结果反馈承载剧情，不先做长过场。</x:v>
      </x:c>
      <x:c r="E12" s="11" t="str">
        <x:v>叙事不可阻断操作，支持跳过；术语、人物称呼需统一。</x:v>
      </x:c>
      <x:c r="F12" s="11" t="str">
        <x:v>新增叙事提案</x:v>
      </x:c>
    </x:row>
    <x:row r="13" ht="69" customHeight="1">
      <x:c r="A13" s="12" t="str">
        <x:v>PRD-07</x:v>
      </x:c>
      <x:c r="B13" s="12" t="str">
        <x:v>玩家动机</x:v>
      </x:c>
      <x:c r="C13" s="12" t="str">
        <x:v>短期完成关卡目标，中期强化携带枪械，长期尝试不同配装和更高难度。</x:v>
      </x:c>
      <x:c r="D13" s="12" t="str">
        <x:v>现有局外只有最高分记录，不宣称已有永久成长或跨端进度。</x:v>
      </x:c>
      <x:c r="E13" s="12" t="str">
        <x:v>先验证重玩意愿，再决定是否加入永久解锁。</x:v>
      </x:c>
      <x:c r="F13" s="12" t="str">
        <x:v>定位假设</x:v>
      </x:c>
    </x:row>
    <x:row r="14" ht="69" customHeight="1">
      <x:c r="A14" s="11" t="str">
        <x:v>PRD-08</x:v>
      </x:c>
      <x:c r="B14" s="11" t="str">
        <x:v>质量优先级</x:v>
      </x:c>
      <x:c r="C14" s="11" t="str">
        <x:v>操作响应和通关完整性优先于新增内容，角色与弹幕可读性优先于背景密度。</x:v>
      </x:c>
      <x:c r="D14" s="11" t="str">
        <x:v>P0：流程阻断和资源缺失；P1：任务误解、严重掉帧和明显强度异常。</x:v>
      </x:c>
      <x:c r="E14" s="11" t="str">
        <x:v>达到发布门禁后再开放 P2 扩展。</x:v>
      </x:c>
      <x:c r="F14" s="11" t="str">
        <x:v>方案待评审</x:v>
      </x:c>
    </x:row>
    <x:row r="15" ht="69" customHeight="1">
      <x:c r="A15" s="12" t="str">
        <x:v>PRD-09</x:v>
      </x:c>
      <x:c r="B15" s="12" t="str">
        <x:v>现有证据</x:v>
      </x:c>
      <x:c r="C15" s="12" t="str">
        <x:v>工程已有运行断言、布局编辑验证、Windows 与网页构建记录。</x:v>
      </x:c>
      <x:c r="D15" s="12" t="str">
        <x:v>历史自动验证不能替代当前候选构建的人工通关、设备测试和新玩家测试。</x:v>
      </x:c>
      <x:c r="E15" s="12" t="str">
        <x:v>每份新报告必须带提交、构建号、设备、步骤和证据地址。</x:v>
      </x:c>
      <x:c r="F15" s="12" t="str">
        <x:v>事实与验证限制</x:v>
      </x:c>
    </x:row>
    <x:row r="16" ht="69" customHeight="1">
      <x:c r="A16" s="11" t="str">
        <x:v>PRD-10</x:v>
      </x:c>
      <x:c r="B16" s="11" t="str">
        <x:v>版本策略</x:v>
      </x:c>
      <x:c r="C16" s="11" t="str">
        <x:v>游戏保持 1.1.1 作为稳定回退点；下一版本号在范围冻结后确定。</x:v>
      </x:c>
      <x:c r="D16" s="11" t="str">
        <x:v>R2 是策划案修订号，不能直接用于标记已上线游戏。</x:v>
      </x:c>
      <x:c r="E16" s="11" t="str">
        <x:v>M0 评审通过后建立目标版本和分支。</x:v>
      </x:c>
      <x:c r="F16" s="11" t="str">
        <x:v>方案待评审</x:v>
      </x:c>
    </x:row>
    <x:row r="17" ht="69" customHeight="1">
      <x:c r="A17" s="12" t="str">
        <x:v>PRD-11</x:v>
      </x:c>
      <x:c r="B17" s="12" t="str">
        <x:v>团队与预算</x:v>
      </x:c>
      <x:c r="C17" s="12" t="str">
        <x:v>实际人数、岗位可用时间、外包报价、预算与上线日期均未提供。</x:v>
      </x:c>
      <x:c r="D17" s="12" t="str">
        <x:v>WBS 的乐观/常规/悲观工时为策划粗估，须由实际执行人复估。</x:v>
      </x:c>
      <x:c r="E17" s="12" t="str">
        <x:v>产能与费用空缺时不得承诺完成日期。</x:v>
      </x:c>
      <x:c r="F17" s="12" t="str">
        <x:v>待补充真实输入</x:v>
      </x:c>
    </x:row>
    <x:row r="18" ht="69" customHeight="1">
      <x:c r="A18" s="11" t="str">
        <x:v>PRD-12</x:v>
      </x:c>
      <x:c r="B18" s="11" t="str">
        <x:v>文档使用</x:v>
      </x:c>
      <x:c r="C18" s="11" t="str">
        <x:v>先看本页、里程碑和待决策项；再按需求编号检查规则、资源、任务和测试。</x:v>
      </x:c>
      <x:c r="D18" s="11" t="str">
        <x:v>评审结论、执行状态、用例结果与实际人日由团队填写。</x:v>
      </x:c>
      <x:c r="E18" s="11" t="str">
        <x:v>修改规则时同步关联资源、程序任务、配置和测试用例。</x:v>
      </x:c>
      <x:c r="F18" s="11" t="str">
        <x:v>协作约定</x:v>
      </x:c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2A4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630000114440918" hidden="0" customWidth="1"/>
    <x:col min="2" max="2" width="18.75" hidden="0" customWidth="1"/>
    <x:col min="3" max="3" width="34.380001068115234" hidden="0" customWidth="1"/>
    <x:col min="4" max="4" width="36.25" hidden="0" customWidth="1"/>
    <x:col min="5" max="5" width="38.75" hidden="0" customWidth="1"/>
    <x:col min="6" max="6" width="30" hidden="0" customWidth="1"/>
    <x:col min="7" max="7" width="15" hidden="0" customWidth="1"/>
    <x:col min="8" max="8" width="13.75" hidden="0" customWidth="1"/>
    <x:col min="9" max="9" width="13.75" hidden="0" customWidth="1"/>
    <x:col min="10" max="10" width="25" hidden="0" customWidth="1"/>
    <x:col min="11" max="11" width="23.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里程碑、评审与交付门禁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5" t="str">
        <x:v>按现有原型进入制作整顿。以下为本项目建议流程，不代表任何公司的统一流程或已完成审批。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9" t="str">
        <x:v>阶段</x:v>
      </x:c>
      <x:c r="B6" s="9" t="str">
        <x:v>目标</x:v>
      </x:c>
      <x:c r="C6" s="9" t="str">
        <x:v>进入条件</x:v>
      </x:c>
      <x:c r="D6" s="9" t="str">
        <x:v>必须交付</x:v>
      </x:c>
      <x:c r="E6" s="9" t="str">
        <x:v>通过条件</x:v>
      </x:c>
      <x:c r="F6" s="9" t="str">
        <x:v>失败时处理</x:v>
      </x:c>
      <x:c r="G6" s="8" t="str">
        <x:v>实际签署人</x:v>
      </x:c>
      <x:c r="H6" s="8" t="str">
        <x:v>评审日期</x:v>
      </x:c>
      <x:c r="I6" s="8" t="str">
        <x:v>评审结论</x:v>
      </x:c>
      <x:c r="J6" s="8" t="str">
        <x:v>证据地址</x:v>
      </x:c>
      <x:c r="K6" s="8" t="str">
        <x:v>签署状态</x:v>
      </x:c>
    </x:row>
    <x:row r="7" ht="74" customHeight="1">
      <x:c r="A7" s="12" t="str">
        <x:v>M0</x:v>
      </x:c>
      <x:c r="B7" s="12" t="str">
        <x:v>范围与规则冻结</x:v>
      </x:c>
      <x:c r="C7" s="12" t="str">
        <x:v>1.1.1 可重建，已列出现有问题与未知项。</x:v>
      </x:c>
      <x:c r="D7" s="12" t="str">
        <x:v>R2 规则评审、D01—D08 决策记录、实际岗位产能、冻结需求编号。</x:v>
      </x:c>
      <x:c r="E7" s="12" t="str">
        <x:v>产品负责人接受目标人群、平台、内容边界和验收口径；未决项有责任人与截止节点。</x:v>
      </x:c>
      <x:c r="F7" s="12" t="str">
        <x:v>无法确认资源就缩减本期范围，不用虚假日期替代估算。</x:v>
      </x:c>
      <x:c r="G7" s="31"/>
      <x:c r="H7" s="32"/>
      <x:c r="I7" s="31" t="str">
        <x:v>待评审</x:v>
      </x:c>
      <x:c r="J7" s="31"/>
      <x:c r="K7" s="2" t="str">
        <x:f>IF(G7="","待指定签署人",IF(NOT(ISNUMBER(H7)),"待填日期",IF(I7&lt;&gt;"通过","待通过评审",IF(J7="","待附证据","本阶段签署完成"))))</x:f>
        <x:v>待指定签署人</x:v>
      </x:c>
    </x:row>
    <x:row r="8" ht="74" customHeight="1">
      <x:c r="A8" s="11" t="str">
        <x:v>M1</x:v>
      </x:c>
      <x:c r="B8" s="11" t="str">
        <x:v>第一关垂直切片</x:v>
      </x:c>
      <x:c r="C8" s="11" t="str">
        <x:v>M0 通过；战斗、美术、UI 与音效制作方式确定。</x:v>
      </x:c>
      <x:c r="D8" s="11" t="str">
        <x:v>四职业五枪在第一关的完整表现、设置样板、构建包、性能与试玩报告。</x:v>
      </x:c>
      <x:c r="E8" s="11" t="str">
        <x:v>可独立完成出击到补给；职业可区分；主流程无阻断；达到经确认的可读性与性能目标。</x:v>
      </x:c>
      <x:c r="F8" s="11" t="str">
        <x:v>未达质量标准先修第一关，不把未验证样板复制到后七关。</x:v>
      </x:c>
      <x:c r="G8" s="31"/>
      <x:c r="H8" s="32"/>
      <x:c r="I8" s="31" t="str">
        <x:v>待评审</x:v>
      </x:c>
      <x:c r="J8" s="31"/>
      <x:c r="K8" s="2" t="str">
        <x:f>IF(G8="","待指定签署人",IF(NOT(ISNUMBER(H8)),"待填日期",IF(I8&lt;&gt;"通过","待通过评审",IF(J8="","待附证据","本阶段签署完成"))))</x:f>
        <x:v>待指定签署人</x:v>
      </x:c>
    </x:row>
    <x:row r="9" ht="74" customHeight="1">
      <x:c r="A9" s="12" t="str">
        <x:v>M2</x:v>
      </x:c>
      <x:c r="B9" s="12" t="str">
        <x:v>八关内容与系统完成</x:v>
      </x:c>
      <x:c r="C9" s="12" t="str">
        <x:v>M1 通过；Prefab、贴图、动画与资源命名规范可复用。</x:v>
      </x:c>
      <x:c r="D9" s="12" t="str">
        <x:v>八关配置与关卡分段表、完整任务线、技能和敌人反馈、资源清单状态。</x:v>
      </x:c>
      <x:c r="E9" s="12" t="str">
        <x:v>全部任务可完成；所有职业枪械组合可处理关键机制；可编辑性由非程序人员验证。</x:v>
      </x:c>
      <x:c r="F9" s="12" t="str">
        <x:v>未做完的 P2 内容砍除；影响八关通关的内容不得延期到发布后。</x:v>
      </x:c>
      <x:c r="G9" s="31"/>
      <x:c r="H9" s="32"/>
      <x:c r="I9" s="31" t="str">
        <x:v>待评审</x:v>
      </x:c>
      <x:c r="J9" s="31"/>
      <x:c r="K9" s="2" t="str">
        <x:f>IF(G9="","待指定签署人",IF(NOT(ISNUMBER(H9)),"待填日期",IF(I9&lt;&gt;"通过","待通过评审",IF(J9="","待附证据","本阶段签署完成"))))</x:f>
        <x:v>待指定签署人</x:v>
      </x:c>
    </x:row>
    <x:row r="10" ht="74" customHeight="1">
      <x:c r="A10" s="11" t="str">
        <x:v>M3</x:v>
      </x:c>
      <x:c r="B10" s="11" t="str">
        <x:v>功能冻结与体验验证</x:v>
      </x:c>
      <x:c r="C10" s="11" t="str">
        <x:v>八关内容接入完成；规则变更进入审批。</x:v>
      </x:c>
      <x:c r="D10" s="11" t="str">
        <x:v>候选构建、完整回归、真实试玩记录、平衡调整记录和已知问题清单。</x:v>
      </x:c>
      <x:c r="E10" s="11" t="str">
        <x:v>P0 未解决数为 0；关键功能用例通过；新玩家和兼容性测试达到确认目标。</x:v>
      </x:c>
      <x:c r="F10" s="11" t="str">
        <x:v>按缺陷级别回退到制作；发现规则设计问题先评审，再改实现与用例。</x:v>
      </x:c>
      <x:c r="G10" s="31"/>
      <x:c r="H10" s="32"/>
      <x:c r="I10" s="31" t="str">
        <x:v>待评审</x:v>
      </x:c>
      <x:c r="J10" s="31"/>
      <x:c r="K10" s="2" t="str">
        <x:f>IF(G10="","待指定签署人",IF(NOT(ISNUMBER(H10)),"待填日期",IF(I10&lt;&gt;"通过","待通过评审",IF(J10="","待附证据","本阶段签署完成"))))</x:f>
        <x:v>待指定签署人</x:v>
      </x:c>
    </x:row>
    <x:row r="11" ht="74" customHeight="1">
      <x:c r="A11" s="12" t="str">
        <x:v>M4</x:v>
      </x:c>
      <x:c r="B11" s="12" t="str">
        <x:v>发布候选与上线</x:v>
      </x:c>
      <x:c r="C11" s="12" t="str">
        <x:v>M3 通过；版本号、资源许可和部署容量已确认。</x:v>
      </x:c>
      <x:c r="D11" s="12" t="str">
        <x:v>Windows/WebGL 同提交构建、校验值、更新说明、线上验证和回滚演练记录。</x:v>
      </x:c>
      <x:c r="E11" s="12" t="str">
        <x:v>冷启动、中文、结算、旧版本入口正常；负责人签署发布记录。</x:v>
      </x:c>
      <x:c r="F11" s="12" t="str">
        <x:v>回滚稳定版本，保留失败日志与包，不覆盖历史版本。</x:v>
      </x:c>
      <x:c r="G11" s="31"/>
      <x:c r="H11" s="32"/>
      <x:c r="I11" s="31" t="str">
        <x:v>待评审</x:v>
      </x:c>
      <x:c r="J11" s="31"/>
      <x:c r="K11" s="2" t="str">
        <x:f>IF(G11="","待指定签署人",IF(NOT(ISNUMBER(H11)),"待填日期",IF(I11&lt;&gt;"通过","待通过评审",IF(J11="","待附证据","本阶段签署完成"))))</x:f>
        <x:v>待指定签署人</x:v>
      </x:c>
    </x:row>
    <x:row r="12" ht="74" customHeight="1">
      <x:c r="A12" s="11" t="str">
        <x:v>M5</x:v>
      </x:c>
      <x:c r="B12" s="11" t="str">
        <x:v>发布后观察</x:v>
      </x:c>
      <x:c r="C12" s="11" t="str">
        <x:v>M4 成功上线并保存可回退版本。</x:v>
      </x:c>
      <x:c r="D12" s="11" t="str">
        <x:v>按版本汇总崩溃、卡关、完成率与反馈，形成补丁决策。</x:v>
      </x:c>
      <x:c r="E12" s="11" t="str">
        <x:v>已确认严重问题有处置方案；设计调整有数据或复现依据。</x:v>
      </x:c>
      <x:c r="F12" s="11" t="str">
        <x:v>先处置崩溃和卡关，新增需求回到变更流程。</x:v>
      </x:c>
      <x:c r="G12" s="31"/>
      <x:c r="H12" s="32"/>
      <x:c r="I12" s="31" t="str">
        <x:v>待评审</x:v>
      </x:c>
      <x:c r="J12" s="31"/>
      <x:c r="K12" s="2" t="str">
        <x:f>IF(G12="","待指定签署人",IF(NOT(ISNUMBER(H12)),"待填日期",IF(I12&lt;&gt;"通过","待通过评审",IF(J12="","待附证据","本阶段签署完成"))))</x:f>
        <x:v>待指定签署人</x:v>
      </x:c>
    </x:row>
    <x:row r="13" ht="74" customHeight="1">
      <x:c r="A13" s="12" t="str">
        <x:v>协作</x:v>
      </x:c>
      <x:c r="B13" s="12" t="str">
        <x:v>需求进入制作</x:v>
      </x:c>
      <x:c r="C13" s="12" t="str">
        <x:v>需求包含触发、状态、输入输出、边界与验收；美术有剪影/尺寸/动作要求。</x:v>
      </x:c>
      <x:c r="D13" s="12" t="str">
        <x:v>程序接口、可编辑字段、资源包与回归用例。</x:v>
      </x:c>
      <x:c r="E13" s="12" t="str">
        <x:v>策划、程序、美术、QA 各自确认交付；实际人员一人兼岗也保留检查步骤。</x:v>
      </x:c>
      <x:c r="F13" s="12" t="str">
        <x:v>资料不齐先退回补齐，不让执行者临时猜需求。</x:v>
      </x:c>
      <x:c r="G13" s="2"/>
      <x:c r="H13" s="2"/>
      <x:c r="I13" s="2"/>
      <x:c r="J13" s="2"/>
      <x:c r="K13" s="2"/>
    </x:row>
    <x:row r="14" ht="74" customHeight="1">
      <x:c r="A14" s="11" t="str">
        <x:v>协作</x:v>
      </x:c>
      <x:c r="B14" s="11" t="str">
        <x:v>日常制作节奏</x:v>
      </x:c>
      <x:c r="C14" s="11" t="str">
        <x:v>任务已拆到可交付、可验收的粒度。</x:v>
      </x:c>
      <x:c r="D14" s="11" t="str">
        <x:v>每日同步阻塞；每次合入做冒烟；建议每周一次可玩版本评审。</x:v>
      </x:c>
      <x:c r="E14" s="11" t="str">
        <x:v>完成不是“代码写好”，而是资源接入、验证和文档同步完成。</x:v>
      </x:c>
      <x:c r="F14" s="11" t="str">
        <x:v>连续跨迭代任务继续拆分；新增工作先说明对已有承诺的影响。</x:v>
      </x:c>
      <x:c r="G14" s="2"/>
      <x:c r="H14" s="2"/>
      <x:c r="I14" s="2"/>
      <x:c r="J14" s="2"/>
      <x:c r="K14" s="2"/>
    </x:row>
    <x:row r="15" ht="74" customHeight="1">
      <x:c r="A15" s="12" t="str">
        <x:v>变更</x:v>
      </x:c>
      <x:c r="B15" s="12" t="str">
        <x:v>需求变更控制</x:v>
      </x:c>
      <x:c r="C15" s="12" t="str">
        <x:v>提出问题、证据、影响范围和备选方案。</x:v>
      </x:c>
      <x:c r="D15" s="12" t="str">
        <x:v>变更记录：原规则、拟规则、依赖、预计人日、目标版本、批准结果。</x:v>
      </x:c>
      <x:c r="E15" s="12" t="str">
        <x:v>批准后同步配置、UI 文案、测试与版本说明，保留旧快照。</x:v>
      </x:c>
      <x:c r="F15" s="12" t="str">
        <x:v>未批准需求进入候选池，不悄悄改变冻结范围。</x:v>
      </x:c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dataValidations count="1">
    <x:dataValidation type="list" sqref="I7:I12">
      <x:formula1>"待评审,通过,退回"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92A43"/>
  </x:sheetPr>
  <x:sheetViews>
    <x:sheetView showGridLines="0" workbookViewId="0"/>
  </x:sheetViews>
  <x:sheetFormatPr defaultRowHeight="15"/>
  <x:cols>
    <x:col min="1" max="1" width="20" hidden="0" customWidth="1"/>
    <x:col min="2" max="2" width="37.5" hidden="0" customWidth="1"/>
    <x:col min="3" max="3" width="37.5" hidden="0" customWidth="1"/>
    <x:col min="4" max="4" width="37.5" hidden="0" customWidth="1"/>
    <x:col min="5" max="5" width="15.630000114440918" hidden="0" customWidth="1"/>
    <x:col min="6" max="6" width="16.2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霓虹突围  游戏策划案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现有功能基线页。正式制作提案从“版本立项”与“开发里程碑”开始阅读。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2" customHeight="1">
      <x:c r="A6" s="9" t="str">
        <x:v>项目</x:v>
      </x:c>
      <x:c r="B6" s="9" t="str">
        <x:v>设计定义</x:v>
      </x:c>
      <x:c r="C6" s="9" t="str">
        <x:v>玩家体验</x:v>
      </x:c>
      <x:c r="D6" s="9" t="str">
        <x:v>范围与状态</x:v>
      </x:c>
      <x:c r="E6" s="2"/>
      <x:c r="F6" s="2"/>
    </x:row>
    <x:row r="7" ht="50" customHeight="1">
      <x:c r="A7" s="12" t="str">
        <x:v>产品定位</x:v>
      </x:c>
      <x:c r="B7" s="12" t="str">
        <x:v>单人 2D 平台动作射击，赛博朋克未来之城</x:v>
      </x:c>
      <x:c r="C7" s="12" t="str">
        <x:v>在战斗、跳跃、收集和机关之间做选择</x:v>
      </x:c>
      <x:c r="D7" s="12" t="str">
        <x:v>现有试玩</x:v>
      </x:c>
      <x:c r="E7" s="2"/>
      <x:c r="F7" s="2"/>
    </x:row>
    <x:row r="8" ht="50" customHeight="1">
      <x:c r="A8" s="11" t="str">
        <x:v>核心循环</x:v>
      </x:c>
      <x:c r="B8" s="11" t="str">
        <x:v>选择难度、职业、枪械后出击，完成任务，关间补给，推进八关</x:v>
      </x:c>
      <x:c r="C8" s="11" t="str">
        <x:v>局外定战术，局内用固定枪械处理不同任务</x:v>
      </x:c>
      <x:c r="D8" s="11" t="str">
        <x:v>已实现</x:v>
      </x:c>
      <x:c r="E8" s="2"/>
      <x:c r="F8" s="2"/>
    </x:row>
    <x:row r="9" ht="50" customHeight="1">
      <x:c r="A9" s="12" t="str">
        <x:v>战斗支柱</x:v>
      </x:c>
      <x:c r="B9" s="12" t="str">
        <x:v>职业技能改变输出窗口，五类枪械有射程、散布和热量差异</x:v>
      </x:c>
      <x:c r="C9" s="12" t="str">
        <x:v>选择适合自己的打法，利用冲刺和地形避伤</x:v>
      </x:c>
      <x:c r="D9" s="12" t="str">
        <x:v>已实现</x:v>
      </x:c>
      <x:c r="E9" s="2"/>
      <x:c r="F9" s="2"/>
    </x:row>
    <x:row r="10" ht="50" customHeight="1">
      <x:c r="A10" s="11" t="str">
        <x:v>关卡支柱</x:v>
      </x:c>
      <x:c r="B10" s="11" t="str">
        <x:v>横向、攀塔、回程、解谜和下行路线交替出现</x:v>
      </x:c>
      <x:c r="C10" s="11" t="str">
        <x:v>通过观察任务和出口方向完成关卡</x:v>
      </x:c>
      <x:c r="D10" s="11" t="str">
        <x:v>已实现</x:v>
      </x:c>
      <x:c r="E10" s="2"/>
      <x:c r="F10" s="2"/>
    </x:row>
    <x:row r="11" ht="50" customHeight="1">
      <x:c r="A11" s="12" t="str">
        <x:v>美术方向</x:v>
      </x:c>
      <x:c r="B11" s="12" t="str">
        <x:v>有层次的像素都市背景、鲜明职业剪影、清楚的前景平台</x:v>
      </x:c>
      <x:c r="C11" s="12" t="str">
        <x:v>背景有城市氛围，危险和可交互物仍一眼可辨</x:v>
      </x:c>
      <x:c r="D11" s="12" t="str">
        <x:v>八关已统一，动画待深化</x:v>
      </x:c>
      <x:c r="E11" s="2"/>
      <x:c r="F11" s="2"/>
    </x:row>
    <x:row r="12" ht="50" customHeight="1">
      <x:c r="A12" s="11" t="str">
        <x:v>目标玩家</x:v>
      </x:c>
      <x:c r="B12" s="11" t="str">
        <x:v>偏好键鼠射击、平台移动与短流程反复挑战的玩家</x:v>
      </x:c>
      <x:c r="C12" s="11" t="str">
        <x:v>通过职业和枪械组合重玩八关</x:v>
      </x:c>
      <x:c r="D12" s="11" t="str">
        <x:v>目标人群假设，未做用户调研</x:v>
      </x:c>
      <x:c r="E12" s="2"/>
      <x:c r="F12" s="2"/>
    </x:row>
    <x:row r="13" ht="50" customHeight="1">
      <x:c r="A13" s="12" t="str">
        <x:v>叙事提案</x:v>
      </x:c>
      <x:c r="B13" s="12" t="str">
        <x:v>小队穿越下城、工业区与数据设施，最终关闭控制中枢</x:v>
      </x:c>
      <x:c r="C13" s="12" t="str">
        <x:v>让每关任务服务于“突围与停机”的行动动机</x:v>
      </x:c>
      <x:c r="D13" s="12" t="str">
        <x:v>建议，未实现完整剧情</x:v>
      </x:c>
      <x:c r="E13" s="2"/>
      <x:c r="F13" s="2"/>
    </x:row>
    <x:row r="14" ht="50" customHeight="1">
      <x:c r="A14" s="11" t="str">
        <x:v>当前边界</x:v>
      </x:c>
      <x:c r="B14" s="11" t="str">
        <x:v>Windows 与 Unity WebGL 试玩，四职业、五枪、三难度、八关</x:v>
      </x:c>
      <x:c r="C14" s="11" t="str">
        <x:v>先验证单人玩法与完成度</x:v>
      </x:c>
      <x:c r="D14" s="11" t="str">
        <x:v>联网合作、付费与局外成长未列入本期</x:v>
      </x:c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  <x:row r="17" ht="28" customHeight="1">
      <x:c r="A17" s="14" t="str">
        <x:v>版本与设计约束</x:v>
      </x:c>
      <x:c r="B17" s="13"/>
      <x:c r="C17" s="13"/>
      <x:c r="D17" s="13"/>
      <x:c r="E17" s="13"/>
      <x:c r="F17" s="13"/>
    </x:row>
    <x:row r="18" ht="32" customHeight="1">
      <x:c r="A18" s="9" t="str">
        <x:v>约束</x:v>
      </x:c>
      <x:c r="B18" s="9" t="str">
        <x:v>当前规则</x:v>
      </x:c>
      <x:c r="C18" s="9" t="str">
        <x:v>策划意义</x:v>
      </x:c>
      <x:c r="D18" s="9" t="str">
        <x:v>使用方式</x:v>
      </x:c>
      <x:c r="E18" s="2"/>
      <x:c r="F18" s="2"/>
    </x:row>
    <x:row r="19" ht="44" customHeight="1">
      <x:c r="A19" s="12" t="str">
        <x:v>侦察兵冷却</x:v>
      </x:c>
      <x:c r="B19" s="12" t="str">
        <x:v>从按 Q 开始计时，冷却 6 秒，标记持续 6 秒</x:v>
      </x:c>
      <x:c r="C19" s="12" t="str">
        <x:v>持续输出窗口可衔接，但新生成敌人需要再次扫描</x:v>
      </x:c>
      <x:c r="D19" s="12" t="str">
        <x:v>职业表与配置表均采用最新基线</x:v>
      </x:c>
      <x:c r="E19" s="2"/>
      <x:c r="F19" s="2"/>
    </x:row>
    <x:row r="20" ht="44" customHeight="1">
      <x:c r="A20" s="11" t="str">
        <x:v>一局固定枪械</x:v>
      </x:c>
      <x:c r="B20" s="11" t="str">
        <x:v>出击前确定枪械，八关中不通过滚轮或数字键切枪</x:v>
      </x:c>
      <x:c r="C20" s="11" t="str">
        <x:v>关卡需要保证任一职业与枪械都能完成任务</x:v>
      </x:c>
      <x:c r="D20" s="11" t="str">
        <x:v>以关间强化提供变化</x:v>
      </x:c>
      <x:c r="E20" s="2"/>
      <x:c r="F20" s="2"/>
    </x:row>
    <x:row r="21" ht="44" customHeight="1">
      <x:c r="A21" s="12" t="str">
        <x:v>可视化编辑</x:v>
      </x:c>
      <x:c r="B21" s="12" t="str">
        <x:v>关卡用 Prefab，常用战斗数值用 ScriptableObject</x:v>
      </x:c>
      <x:c r="C21" s="12" t="str">
        <x:v>策划可在 Scene 与 Inspector 中调节内容</x:v>
      </x:c>
      <x:c r="D21" s="12" t="str">
        <x:v>详细分工见“配置与依据”</x:v>
      </x:c>
      <x:c r="E21" s="2"/>
      <x:c r="F21" s="2"/>
    </x:row>
    <x:row r="22" ht="44" customHeight="1">
      <x:c r="A22" s="11" t="str">
        <x:v>文档与工程关系</x:v>
      </x:c>
      <x:c r="B22" s="11" t="str">
        <x:v>本表可以编辑和试算，不会自动回写 Unity 配置</x:v>
      </x:c>
      <x:c r="C22" s="11" t="str">
        <x:v>调参后需同步资产并重新构建验证</x:v>
      </x:c>
      <x:c r="D22" s="11" t="str">
        <x:v>来源编号在“配置与依据”集中列出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380000114440918" hidden="0" customWidth="1"/>
    <x:col min="2" max="2" width="18.75" hidden="0" customWidth="1"/>
    <x:col min="3" max="3" width="34.380001068115234" hidden="0" customWidth="1"/>
    <x:col min="4" max="4" width="31.25" hidden="0" customWidth="1"/>
    <x:col min="5" max="5" width="33.75" hidden="0" customWidth="1"/>
    <x:col min="6" max="6" width="12.5" hidden="0" customWidth="1"/>
    <x:col min="7" max="7" width="2.75" hidden="0" customWidth="1"/>
    <x:col min="8" max="8" width="13.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系统规则与界面流程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当前规则均来自 1.1.1 工程；建议项另列于“迭代验收”。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9" t="str">
        <x:v>阶段</x:v>
      </x:c>
      <x:c r="B6" s="9" t="str">
        <x:v>入口与操作</x:v>
      </x:c>
      <x:c r="C6" s="9" t="str">
        <x:v>内容与反馈</x:v>
      </x:c>
      <x:c r="D6" s="9" t="str">
        <x:v>进入下一阶段</x:v>
      </x:c>
      <x:c r="E6" s="9" t="str">
        <x:v>边界与异常</x:v>
      </x:c>
      <x:c r="F6" s="9" t="str">
        <x:v>状态</x:v>
      </x:c>
      <x:c r="G6" s="9" t="str"/>
      <x:c r="H6" s="9" t="str">
        <x:v>依据</x:v>
      </x:c>
    </x:row>
    <x:row r="7" ht="48" customHeight="1">
      <x:c r="A7" s="12" t="str">
        <x:v>首页</x:v>
      </x:c>
      <x:c r="B7" s="12" t="str">
        <x:v>开始游戏 / Enter</x:v>
      </x:c>
      <x:c r="C7" s="12" t="str">
        <x:v>显示游戏名、职业与携带枪械预览</x:v>
      </x:c>
      <x:c r="D7" s="12" t="str">
        <x:v>进入难度选择</x:v>
      </x:c>
      <x:c r="E7" s="12" t="str">
        <x:v>返回主菜单可重新配置本局</x:v>
      </x:c>
      <x:c r="F7" s="12" t="str">
        <x:v>已实现</x:v>
      </x:c>
      <x:c r="G7" s="12" t="str"/>
      <x:c r="H7" s="12" t="str">
        <x:v>S1、S4</x:v>
      </x:c>
    </x:row>
    <x:row r="8" ht="48" customHeight="1">
      <x:c r="A8" s="11" t="str">
        <x:v>难度选择</x:v>
      </x:c>
      <x:c r="B8" s="11" t="str">
        <x:v>简单 / 中等 / 困难</x:v>
      </x:c>
      <x:c r="C8" s="11" t="str">
        <x:v>显示敌人生命、伤害与攻击速度差异</x:v>
      </x:c>
      <x:c r="D8" s="11" t="str">
        <x:v>下一步进入职业页</x:v>
      </x:c>
      <x:c r="E8" s="11" t="str">
        <x:v>默认中等，本局开始后锁定</x:v>
      </x:c>
      <x:c r="F8" s="11" t="str">
        <x:v>已实现</x:v>
      </x:c>
      <x:c r="G8" s="11" t="str"/>
      <x:c r="H8" s="11" t="str">
        <x:v>S1、S2</x:v>
      </x:c>
    </x:row>
    <x:row r="9" ht="48" customHeight="1">
      <x:c r="A9" s="12" t="str">
        <x:v>职业选择</x:v>
      </x:c>
      <x:c r="B9" s="12" t="str">
        <x:v>点击四职业卡片</x:v>
      </x:c>
      <x:c r="C9" s="12" t="str">
        <x:v>人物外形、定位、技能参数与动态特效预览</x:v>
      </x:c>
      <x:c r="D9" s="12" t="str">
        <x:v>下一步进入枪械页</x:v>
      </x:c>
      <x:c r="E9" s="12" t="str">
        <x:v>Esc 返回时保留选择</x:v>
      </x:c>
      <x:c r="F9" s="12" t="str">
        <x:v>已实现</x:v>
      </x:c>
      <x:c r="G9" s="12" t="str"/>
      <x:c r="H9" s="12" t="str">
        <x:v>S1、S4</x:v>
      </x:c>
    </x:row>
    <x:row r="10" ht="48" customHeight="1">
      <x:c r="A10" s="11" t="str">
        <x:v>枪械选择</x:v>
      </x:c>
      <x:c r="B10" s="11" t="str">
        <x:v>点击五种枪械</x:v>
      </x:c>
      <x:c r="C10" s="11" t="str">
        <x:v>枪械模型、射击特性及参数</x:v>
      </x:c>
      <x:c r="D10" s="11" t="str">
        <x:v>确认配置并出击</x:v>
      </x:c>
      <x:c r="E10" s="11" t="str">
        <x:v>此时才开始本局计时和战斗</x:v>
      </x:c>
      <x:c r="F10" s="11" t="str">
        <x:v>已实现</x:v>
      </x:c>
      <x:c r="G10" s="11" t="str"/>
      <x:c r="H10" s="11" t="str">
        <x:v>S1、S4</x:v>
      </x:c>
    </x:row>
    <x:row r="11" ht="48" customHeight="1">
      <x:c r="A11" s="12" t="str">
        <x:v>关卡内</x:v>
      </x:c>
      <x:c r="B11" s="12" t="str">
        <x:v>移动、瞄准、射击与职业技能</x:v>
      </x:c>
      <x:c r="C11" s="12" t="str">
        <x:v>生命、积分、连击、任务、技能与出口方向</x:v>
      </x:c>
      <x:c r="D11" s="12" t="str">
        <x:v>完成当前任务并到达有效出口</x:v>
      </x:c>
      <x:c r="E11" s="12" t="str">
        <x:v>收集与解谜关不强制清敌</x:v>
      </x:c>
      <x:c r="F11" s="12" t="str">
        <x:v>已实现</x:v>
      </x:c>
      <x:c r="G11" s="12" t="str"/>
      <x:c r="H11" s="12" t="str">
        <x:v>S3、S5</x:v>
      </x:c>
    </x:row>
    <x:row r="12" ht="48" customHeight="1">
      <x:c r="A12" s="11" t="str">
        <x:v>关间补给</x:v>
      </x:c>
      <x:c r="B12" s="11" t="str">
        <x:v>三个候选中选一项</x:v>
      </x:c>
      <x:c r="C12" s="11" t="str">
        <x:v>从五类升级中不重复随机抽取三项</x:v>
      </x:c>
      <x:c r="D12" s="11" t="str">
        <x:v>选择后进入下一关</x:v>
      </x:c>
      <x:c r="E12" s="11" t="str">
        <x:v>数字键 1—3 仅在补给页选升级</x:v>
      </x:c>
      <x:c r="F12" s="11" t="str">
        <x:v>已实现</x:v>
      </x:c>
      <x:c r="G12" s="11" t="str"/>
      <x:c r="H12" s="11" t="str">
        <x:v>S3</x:v>
      </x:c>
    </x:row>
    <x:row r="13" ht="48" customHeight="1">
      <x:c r="A13" s="12" t="str">
        <x:v>暂停</x:v>
      </x:c>
      <x:c r="B13" s="12" t="str">
        <x:v>Esc；战斗时窗口失焦</x:v>
      </x:c>
      <x:c r="C13" s="12" t="str">
        <x:v>继续或返回菜单，技能和特效随暂停冻结</x:v>
      </x:c>
      <x:c r="D13" s="12" t="str">
        <x:v>继续返回当前战斗</x:v>
      </x:c>
      <x:c r="E13" s="12" t="str">
        <x:v>M 切换声音</x:v>
      </x:c>
      <x:c r="F13" s="12" t="str">
        <x:v>已实现</x:v>
      </x:c>
      <x:c r="G13" s="12" t="str"/>
      <x:c r="H13" s="12" t="str">
        <x:v>S1、S3</x:v>
      </x:c>
    </x:row>
    <x:row r="14" ht="48" customHeight="1">
      <x:c r="A14" s="11" t="str">
        <x:v>失败</x:v>
      </x:c>
      <x:c r="B14" s="11" t="str">
        <x:v>生命降到 0</x:v>
      </x:c>
      <x:c r="C14" s="11" t="str">
        <x:v>显示本局结算，保存最高分</x:v>
      </x:c>
      <x:c r="D14" s="11" t="str">
        <x:v>R 重开；Esc 返回主菜单</x:v>
      </x:c>
      <x:c r="E14" s="11" t="str">
        <x:v>重开沿用当前难度、职业和枪械</x:v>
      </x:c>
      <x:c r="F14" s="11" t="str">
        <x:v>已实现</x:v>
      </x:c>
      <x:c r="G14" s="11" t="str"/>
      <x:c r="H14" s="11" t="str">
        <x:v>S1、S3</x:v>
      </x:c>
    </x:row>
    <x:row r="15" ht="48" customHeight="1">
      <x:c r="A15" s="12" t="str">
        <x:v>终关胜利</x:v>
      </x:c>
      <x:c r="B15" s="12" t="str">
        <x:v>击败守卫且关闭中枢</x:v>
      </x:c>
      <x:c r="C15" s="12" t="str">
        <x:v>立即停止战斗，显示胜利结算</x:v>
      </x:c>
      <x:c r="D15" s="12" t="str">
        <x:v>R 重开；Esc 返回主菜单</x:v>
      </x:c>
      <x:c r="E15" s="12" t="str">
        <x:v>两目标可任意先后完成，无第九关</x:v>
      </x:c>
      <x:c r="F15" s="12" t="str">
        <x:v>已实现</x:v>
      </x:c>
      <x:c r="G15" s="12" t="str"/>
      <x:c r="H15" s="12" t="str">
        <x:v>S1、S5</x:v>
      </x:c>
    </x:row>
    <x:row r="16" ht="48" customHeight="1">
      <x:c r="A16" s="11" t="str">
        <x:v>结算信息</x:v>
      </x:c>
      <x:c r="B16" s="11" t="str">
        <x:v>胜利或失败</x:v>
      </x:c>
      <x:c r="C16" s="11" t="str">
        <x:v>积分、击破、最高连击、职业、难度、用时</x:v>
      </x:c>
      <x:c r="D16" s="11" t="str">
        <x:v>回到首页或重新出击</x:v>
      </x:c>
      <x:c r="E16" s="11" t="str">
        <x:v>最高分本地保存，未设计跨端同步</x:v>
      </x:c>
      <x:c r="F16" s="11" t="str">
        <x:v>已实现</x:v>
      </x:c>
      <x:c r="G16" s="11" t="str"/>
      <x:c r="H16" s="11" t="str">
        <x:v>S1、S3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8" customHeight="1">
      <x:c r="A19" s="14" t="str">
        <x:v>关间升级池</x:v>
      </x:c>
      <x:c r="B19" s="13"/>
      <x:c r="C19" s="13"/>
      <x:c r="D19" s="13"/>
      <x:c r="E19" s="13"/>
      <x:c r="F19" s="13"/>
      <x:c r="G19" s="13"/>
      <x:c r="H19" s="13"/>
    </x:row>
    <x:row r="20" ht="32" customHeight="1">
      <x:c r="A20" s="9" t="str">
        <x:v>升级</x:v>
      </x:c>
      <x:c r="B20" s="9" t="str">
        <x:v>核心效果</x:v>
      </x:c>
      <x:c r="C20" s="9" t="str">
        <x:v>当前数值规则</x:v>
      </x:c>
      <x:c r="D20" s="9" t="str">
        <x:v>适用范围</x:v>
      </x:c>
      <x:c r="E20" s="9" t="str">
        <x:v>设计注意</x:v>
      </x:c>
      <x:c r="F20" s="9" t="str">
        <x:v>状态</x:v>
      </x:c>
      <x:c r="G20" s="9" t="str"/>
      <x:c r="H20" s="9" t="str">
        <x:v>依据</x:v>
      </x:c>
    </x:row>
    <x:row r="21" ht="42" customHeight="1">
      <x:c r="A21" s="12" t="str">
        <x:v>强化弹芯</x:v>
      </x:c>
      <x:c r="B21" s="12" t="str">
        <x:v>增加携带枪械伤害</x:v>
      </x:c>
      <x:c r="C21" s="12" t="str">
        <x:v>基础伤害 ×（1 + 伤害等级 × 25%），取整</x:v>
      </x:c>
      <x:c r="D21" s="12" t="str">
        <x:v>五种枪械</x:v>
      </x:c>
      <x:c r="E21" s="12" t="str">
        <x:v>与扫描增伤组合时再次按规则取整</x:v>
      </x:c>
      <x:c r="F21" s="12" t="str">
        <x:v>已实现</x:v>
      </x:c>
      <x:c r="G21" s="12" t="str"/>
      <x:c r="H21" s="12" t="str">
        <x:v>S3</x:v>
      </x:c>
    </x:row>
    <x:row r="22" ht="42" customHeight="1">
      <x:c r="A22" s="11" t="str">
        <x:v>高速供弹</x:v>
      </x:c>
      <x:c r="B22" s="11" t="str">
        <x:v>缩短射击间隔</x:v>
      </x:c>
      <x:c r="C22" s="11" t="str">
        <x:v>基础间隔 ÷（1 + 供弹等级 × 18%）</x:v>
      </x:c>
      <x:c r="D22" s="11" t="str">
        <x:v>五种枪械</x:v>
      </x:c>
      <x:c r="E22" s="11" t="str">
        <x:v>机枪更容易积热，需测试输出收益</x:v>
      </x:c>
      <x:c r="F22" s="11" t="str">
        <x:v>已实现</x:v>
      </x:c>
      <x:c r="G22" s="11" t="str"/>
      <x:c r="H22" s="11" t="str">
        <x:v>S3</x:v>
      </x:c>
    </x:row>
    <x:row r="23" ht="42" customHeight="1">
      <x:c r="A23" s="12" t="str">
        <x:v>分裂弹道</x:v>
      </x:c>
      <x:c r="B23" s="12" t="str">
        <x:v>增加每次射击弹丸</x:v>
      </x:c>
      <x:c r="C23" s="12" t="str">
        <x:v>基础弹丸数 + 分裂等级 × 2</x:v>
      </x:c>
      <x:c r="D23" s="12" t="str">
        <x:v>五种枪械</x:v>
      </x:c>
      <x:c r="E23" s="12" t="str">
        <x:v>不是更换枪械，双枪时两个枪口分别发射</x:v>
      </x:c>
      <x:c r="F23" s="12" t="str">
        <x:v>已实现</x:v>
      </x:c>
      <x:c r="G23" s="12" t="str"/>
      <x:c r="H23" s="12" t="str">
        <x:v>S3</x:v>
      </x:c>
    </x:row>
    <x:row r="24" ht="42" customHeight="1">
      <x:c r="A24" s="11" t="str">
        <x:v>装甲修复</x:v>
      </x:c>
      <x:c r="B24" s="11" t="str">
        <x:v>提高上限并回复</x:v>
      </x:c>
      <x:c r="C24" s="11" t="str">
        <x:v>生命上限 +25，立即回复 50，不超过上限</x:v>
      </x:c>
      <x:c r="D24" s="11" t="str">
        <x:v>所有职业</x:v>
      </x:c>
      <x:c r="E24" s="11" t="str">
        <x:v>不是持久局外属性</x:v>
      </x:c>
      <x:c r="F24" s="11" t="str">
        <x:v>已实现</x:v>
      </x:c>
      <x:c r="G24" s="11" t="str"/>
      <x:c r="H24" s="11" t="str">
        <x:v>S3</x:v>
      </x:c>
    </x:row>
    <x:row r="25" ht="42" customHeight="1">
      <x:c r="A25" s="12" t="str">
        <x:v>机动冷却</x:v>
      </x:c>
      <x:c r="B25" s="12" t="str">
        <x:v>改善冲刺续航并回复</x:v>
      </x:c>
      <x:c r="C25" s="12" t="str">
        <x:v>当前冲刺冷却 ×80%，立即回复 20</x:v>
      </x:c>
      <x:c r="D25" s="12" t="str">
        <x:v>所有职业</x:v>
      </x:c>
      <x:c r="E25" s="12" t="str">
        <x:v>影响通用冲刺，不缩短职业技能冷却</x:v>
      </x:c>
      <x:c r="F25" s="12" t="str">
        <x:v>已实现</x:v>
      </x:c>
      <x:c r="G25" s="12" t="str"/>
      <x:c r="H25" s="12" t="str">
        <x:v>S3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8" customHeight="1">
      <x:c r="A28" s="14" t="str">
        <x:v>敌人与计分</x:v>
      </x:c>
      <x:c r="B28" s="13"/>
      <x:c r="C28" s="13"/>
      <x:c r="D28" s="13"/>
      <x:c r="E28" s="13"/>
      <x:c r="F28" s="13"/>
      <x:c r="G28" s="13"/>
      <x:c r="H28" s="13"/>
    </x:row>
    <x:row r="29" ht="32" customHeight="1">
      <x:c r="A29" s="9" t="str">
        <x:v>单位或规则</x:v>
      </x:c>
      <x:c r="B29" s="9" t="str">
        <x:v>行为</x:v>
      </x:c>
      <x:c r="C29" s="9" t="str">
        <x:v>数值与机制</x:v>
      </x:c>
      <x:c r="D29" s="9" t="str">
        <x:v>玩家应对</x:v>
      </x:c>
      <x:c r="E29" s="9" t="str">
        <x:v>设计注意</x:v>
      </x:c>
      <x:c r="F29" s="9" t="str">
        <x:v>状态</x:v>
      </x:c>
      <x:c r="G29" s="9" t="str"/>
      <x:c r="H29" s="9" t="str">
        <x:v>依据</x:v>
      </x:c>
    </x:row>
    <x:row r="30" ht="49" customHeight="1">
      <x:c r="A30" s="12" t="str">
        <x:v>守卫</x:v>
      </x:c>
      <x:c r="B30" s="12" t="str">
        <x:v>接近玩家后射击</x:v>
      </x:c>
      <x:c r="C30" s="12" t="str">
        <x:v>普通子弹基础伤害 10，攻击间隔 1.8 秒</x:v>
      </x:c>
      <x:c r="D30" s="12" t="str">
        <x:v>移动、跳跃、冲刺避弹</x:v>
      </x:c>
      <x:c r="E30" s="12" t="str">
        <x:v>难度分别乘伤害和攻击间隔倍率</x:v>
      </x:c>
      <x:c r="F30" s="12" t="str">
        <x:v>已实现</x:v>
      </x:c>
      <x:c r="G30" s="12" t="str"/>
      <x:c r="H30" s="12" t="str">
        <x:v>S3</x:v>
      </x:c>
    </x:row>
    <x:row r="31" ht="49" customHeight="1">
      <x:c r="A31" s="11" t="str">
        <x:v>无人机</x:v>
      </x:c>
      <x:c r="B31" s="11" t="str">
        <x:v>浮动追踪并射击</x:v>
      </x:c>
      <x:c r="C31" s="11" t="str">
        <x:v>随高度调整，普通攻击单发</x:v>
      </x:c>
      <x:c r="D31" s="11" t="str">
        <x:v>兼顾上方威胁与地面路线</x:v>
      </x:c>
      <x:c r="E31" s="11" t="str">
        <x:v>高塔和地下关需要清晰的空中轮廓</x:v>
      </x:c>
      <x:c r="F31" s="11" t="str">
        <x:v>已实现</x:v>
      </x:c>
      <x:c r="G31" s="11" t="str"/>
      <x:c r="H31" s="11" t="str">
        <x:v>S3</x:v>
      </x:c>
    </x:row>
    <x:row r="32" ht="49" customHeight="1">
      <x:c r="A32" s="12" t="str">
        <x:v>重装</x:v>
      </x:c>
      <x:c r="B32" s="12" t="str">
        <x:v>三发扇形射击</x:v>
      </x:c>
      <x:c r="C32" s="12" t="str">
        <x:v>生命基数高于普通敌人</x:v>
      </x:c>
      <x:c r="D32" s="12" t="str">
        <x:v>绕过弹幕或用穿透武器处理</x:v>
      </x:c>
      <x:c r="E32" s="12" t="str">
        <x:v>不能与 Boss 的五发、九发弹幕混淆</x:v>
      </x:c>
      <x:c r="F32" s="12" t="str">
        <x:v>已实现</x:v>
      </x:c>
      <x:c r="G32" s="12" t="str"/>
      <x:c r="H32" s="12" t="str">
        <x:v>S3</x:v>
      </x:c>
    </x:row>
    <x:row r="33" ht="49" customHeight="1">
      <x:c r="A33" s="11" t="str">
        <x:v>悬浮守卫 Boss</x:v>
      </x:c>
      <x:c r="B33" s="11" t="str">
        <x:v>悬浮追踪，半血进入狂暴</x:v>
      </x:c>
      <x:c r="C33" s="11" t="str">
        <x:v>常态 5 发、1.3 秒间隔；狂暴 9 发、0.85 秒间隔；基础伤害 16</x:v>
      </x:c>
      <x:c r="D33" s="11" t="str">
        <x:v>观察扇形间隙，保留冲刺</x:v>
      </x:c>
      <x:c r="E33" s="11" t="str">
        <x:v>第 3、8 关生命配置不同</x:v>
      </x:c>
      <x:c r="F33" s="11" t="str">
        <x:v>已实现</x:v>
      </x:c>
      <x:c r="G33" s="11" t="str"/>
      <x:c r="H33" s="11" t="str">
        <x:v>S3、S6</x:v>
      </x:c>
    </x:row>
    <x:row r="34" ht="49" customHeight="1">
      <x:c r="A34" s="12" t="str">
        <x:v>积分与连击</x:v>
      </x:c>
      <x:c r="B34" s="12" t="str">
        <x:v>连续击破累积连击，受伤归零</x:v>
      </x:c>
      <x:c r="C34" s="12" t="str">
        <x:v>每次击破得分 =100×min（当前连击，10）</x:v>
      </x:c>
      <x:c r="D34" s="12" t="str">
        <x:v>鼓励在避伤的同时稳定击破</x:v>
      </x:c>
      <x:c r="E34" s="12" t="str">
        <x:v>最高分为本地记录，不等同完整局外成长</x:v>
      </x:c>
      <x:c r="F34" s="12" t="str">
        <x:v>已实现</x:v>
      </x:c>
      <x:c r="G34" s="12" t="str"/>
      <x:c r="H34" s="12" t="str">
        <x:v>S3</x:v>
      </x:c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8" customHeight="1">
      <x:c r="A37" s="14" t="str">
        <x:v>键鼠操作定义</x:v>
      </x:c>
      <x:c r="B37" s="13"/>
      <x:c r="C37" s="13"/>
      <x:c r="D37" s="13"/>
      <x:c r="E37" s="13"/>
      <x:c r="F37" s="13"/>
      <x:c r="G37" s="13"/>
      <x:c r="H37" s="13"/>
    </x:row>
    <x:row r="38" ht="32" customHeight="1">
      <x:c r="A38" s="9" t="str">
        <x:v>操作</x:v>
      </x:c>
      <x:c r="B38" s="9" t="str">
        <x:v>按键</x:v>
      </x:c>
      <x:c r="C38" s="9" t="str">
        <x:v>作用</x:v>
      </x:c>
      <x:c r="D38" s="9"/>
      <x:c r="E38" s="9" t="str">
        <x:v>边界</x:v>
      </x:c>
      <x:c r="F38" s="9"/>
      <x:c r="G38" s="9"/>
      <x:c r="H38" s="9"/>
    </x:row>
    <x:row r="39" ht="38" customHeight="1">
      <x:c r="A39" s="12" t="str">
        <x:v>移动</x:v>
      </x:c>
      <x:c r="B39" s="12" t="str">
        <x:v>A / D</x:v>
      </x:c>
      <x:c r="C39" s="12" t="str">
        <x:v>水平移动</x:v>
      </x:c>
      <x:c r="D39" s="12"/>
      <x:c r="E39" s="12" t="str">
        <x:v>持机枪时乘移动速度系数。</x:v>
      </x:c>
      <x:c r="F39" s="12"/>
      <x:c r="G39" s="12"/>
      <x:c r="H39" s="12"/>
    </x:row>
    <x:row r="40" ht="38" customHeight="1">
      <x:c r="A40" s="11" t="str">
        <x:v>跳跃</x:v>
      </x:c>
      <x:c r="B40" s="11" t="str">
        <x:v>Space / W</x:v>
      </x:c>
      <x:c r="C40" s="11" t="str">
        <x:v>跳跃与二段跳</x:v>
      </x:c>
      <x:c r="D40" s="11"/>
      <x:c r="E40" s="11" t="str">
        <x:v>落地恢复跳跃次数。</x:v>
      </x:c>
      <x:c r="F40" s="11"/>
      <x:c r="G40" s="11"/>
      <x:c r="H40" s="11"/>
    </x:row>
    <x:row r="41" ht="38" customHeight="1">
      <x:c r="A41" s="12" t="str">
        <x:v>下落</x:v>
      </x:c>
      <x:c r="B41" s="12" t="str">
        <x:v>S</x:v>
      </x:c>
      <x:c r="C41" s="12" t="str">
        <x:v>穿过可穿越平台</x:v>
      </x:c>
      <x:c r="D41" s="12"/>
      <x:c r="E41" s="12" t="str">
        <x:v>供地下档案等下行路线使用。</x:v>
      </x:c>
      <x:c r="F41" s="12"/>
      <x:c r="G41" s="12"/>
      <x:c r="H41" s="12"/>
    </x:row>
    <x:row r="42" ht="38" customHeight="1">
      <x:c r="A42" s="11" t="str">
        <x:v>瞄准射击</x:v>
      </x:c>
      <x:c r="B42" s="11" t="str">
        <x:v>鼠标 / 左键</x:v>
      </x:c>
      <x:c r="C42" s="11" t="str">
        <x:v>朝准星方向发射携带枪械</x:v>
      </x:c>
      <x:c r="D42" s="11"/>
      <x:c r="E42" s="11" t="str">
        <x:v>本局枪械固定，不支持滚轮与数字键切换。</x:v>
      </x:c>
      <x:c r="F42" s="11"/>
      <x:c r="G42" s="11"/>
      <x:c r="H42" s="11"/>
    </x:row>
    <x:row r="43" ht="38" customHeight="1">
      <x:c r="A43" s="12" t="str">
        <x:v>冲刺</x:v>
      </x:c>
      <x:c r="B43" s="12" t="str">
        <x:v>Shift / 右键</x:v>
      </x:c>
      <x:c r="C43" s="12" t="str">
        <x:v>通用快速位移</x:v>
      </x:c>
      <x:c r="D43" s="12"/>
      <x:c r="E43" s="12" t="str">
        <x:v>冷却独立于职业技能。</x:v>
      </x:c>
      <x:c r="F43" s="12"/>
      <x:c r="G43" s="12"/>
      <x:c r="H43" s="12"/>
    </x:row>
    <x:row r="44" ht="38" customHeight="1">
      <x:c r="A44" s="11" t="str">
        <x:v>职业技能</x:v>
      </x:c>
      <x:c r="B44" s="11" t="str">
        <x:v>Q</x:v>
      </x:c>
      <x:c r="C44" s="11" t="str">
        <x:v>施放当前职业技能</x:v>
      </x:c>
      <x:c r="D44" s="11"/>
      <x:c r="E44" s="11" t="str">
        <x:v>在有效战斗状态且冷却结束后可用。</x:v>
      </x:c>
      <x:c r="F44" s="11"/>
      <x:c r="G44" s="11"/>
      <x:c r="H44" s="11"/>
    </x:row>
    <x:row r="45" ht="38" customHeight="1">
      <x:c r="A45" s="12" t="str">
        <x:v>交互</x:v>
      </x:c>
      <x:c r="B45" s="12" t="str">
        <x:v>E</x:v>
      </x:c>
      <x:c r="C45" s="12" t="str">
        <x:v>近距离操作机关</x:v>
      </x:c>
      <x:c r="D45" s="12"/>
      <x:c r="E45" s="12" t="str">
        <x:v>任务道具接触拾取，不需要 E。</x:v>
      </x:c>
      <x:c r="F45" s="12"/>
      <x:c r="G45" s="12"/>
      <x:c r="H45" s="12"/>
    </x:row>
    <x:row r="46" ht="38" customHeight="1">
      <x:c r="A46" s="11" t="str">
        <x:v>暂停 / 声音</x:v>
      </x:c>
      <x:c r="B46" s="11" t="str">
        <x:v>Esc / M</x:v>
      </x:c>
      <x:c r="C46" s="11" t="str">
        <x:v>暂停、继续或切换声音</x:v>
      </x:c>
      <x:c r="D46" s="11"/>
      <x:c r="E46" s="11" t="str">
        <x:v>选人流程中 Esc 返回上一步。</x:v>
      </x:c>
      <x:c r="F46" s="11"/>
      <x:c r="G46" s="11"/>
      <x:c r="H46" s="11"/>
    </x:row>
    <x:row r="47" ht="38" customHeight="1">
      <x:c r="A47" s="12" t="str">
        <x:v>重开</x:v>
      </x:c>
      <x:c r="B47" s="12" t="str">
        <x:v>R</x:v>
      </x:c>
      <x:c r="C47" s="12" t="str">
        <x:v>结算后重新出击</x:v>
      </x:c>
      <x:c r="D47" s="12"/>
      <x:c r="E47" s="12" t="str">
        <x:v>沿用当前选择；换配置需返回主菜单。</x:v>
      </x:c>
      <x:c r="F47" s="12"/>
      <x:c r="G47" s="12"/>
      <x:c r="H47" s="12"/>
    </x:row>
    <x:row r="48" ht="38" customHeight="1">
      <x:c r="A48" s="11" t="str">
        <x:v>补给选择</x:v>
      </x:c>
      <x:c r="B48" s="11" t="str">
        <x:v>数字 1—3</x:v>
      </x:c>
      <x:c r="C48" s="11" t="str">
        <x:v>选择关间三选一升级</x:v>
      </x:c>
      <x:c r="D48" s="11"/>
      <x:c r="E48" s="11" t="str">
        <x:v>仅作用于补给页面。</x:v>
      </x:c>
      <x:c r="F48" s="11"/>
      <x:c r="G48" s="11"/>
      <x:c r="H48" s="11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</x:sheetData>
  <x:mergeCells>
    <x:mergeCell ref="C38:D38"/>
    <x:mergeCell ref="E38:H38"/>
    <x:mergeCell ref="C39:D39"/>
    <x:mergeCell ref="E39:H39"/>
    <x:mergeCell ref="C40:D40"/>
    <x:mergeCell ref="E40:H40"/>
    <x:mergeCell ref="C41:D41"/>
    <x:mergeCell ref="E41:H41"/>
    <x:mergeCell ref="C42:D42"/>
    <x:mergeCell ref="E42:H42"/>
    <x:mergeCell ref="C43:D43"/>
    <x:mergeCell ref="E43:H43"/>
    <x:mergeCell ref="C44:D44"/>
    <x:mergeCell ref="E44:H44"/>
    <x:mergeCell ref="C45:D45"/>
    <x:mergeCell ref="E45:H45"/>
    <x:mergeCell ref="C46:D46"/>
    <x:mergeCell ref="E46:H46"/>
    <x:mergeCell ref="C47:D47"/>
    <x:mergeCell ref="E47:H47"/>
    <x:mergeCell ref="C48:D48"/>
    <x:mergeCell ref="E48:H4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.25" hidden="0" customWidth="1"/>
    <x:col min="2" max="2" width="18.1299991607666" hidden="0" customWidth="1"/>
    <x:col min="3" max="3" width="35" hidden="0" customWidth="1"/>
    <x:col min="4" max="4" width="37.5" hidden="0" customWidth="1"/>
    <x:col min="5" max="5" width="36.25" hidden="0" customWidth="1"/>
    <x:col min="6" max="6" width="19.3799991607666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战斗规则、时序与异常处理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标“现状”的条目按代码核对；“方案”仅在本轮评审后进入制作。世界距离使用 Unity 单位。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2" customHeight="1">
      <x:c r="A6" s="9" t="str">
        <x:v>规则 ID</x:v>
      </x:c>
      <x:c r="B6" s="9" t="str">
        <x:v>子系统</x:v>
      </x:c>
      <x:c r="C6" s="9" t="str">
        <x:v>前置与触发</x:v>
      </x:c>
      <x:c r="D6" s="9" t="str">
        <x:v>处理顺序或输出</x:v>
      </x:c>
      <x:c r="E6" s="9" t="str">
        <x:v>边界与失败处理</x:v>
      </x:c>
      <x:c r="F6" s="9" t="str">
        <x:v>性质 / 关联</x:v>
      </x:c>
    </x:row>
    <x:row r="7" ht="77" customHeight="1">
      <x:c r="A7" s="12" t="str">
        <x:v>MOV-01</x:v>
      </x:c>
      <x:c r="B7" s="12" t="str">
        <x:v>移动</x:v>
      </x:c>
      <x:c r="C7" s="12" t="str">
        <x:v>Playing 状态按 A/D。</x:v>
      </x:c>
      <x:c r="D7" s="12" t="str">
        <x:v>水平速度=职业移速；机枪另乘移速系数；横向限制在地图内。</x:v>
      </x:c>
      <x:c r="E7" s="12" t="str">
        <x:v>暂停与结算不推进运动；没有接触伤害系统。</x:v>
      </x:c>
      <x:c r="F7" s="12" t="str">
        <x:v>现状 S3</x:v>
      </x:c>
    </x:row>
    <x:row r="8" ht="77" customHeight="1">
      <x:c r="A8" s="11" t="str">
        <x:v>MOV-02</x:v>
      </x:c>
      <x:c r="B8" s="11" t="str">
        <x:v>跳跃</x:v>
      </x:c>
      <x:c r="C8" s="11" t="str">
        <x:v>Space/W 记录 0.12 秒输入缓冲。</x:v>
      </x:c>
      <x:c r="D8" s="11" t="str">
        <x:v>可二段跳；离地宽限 0.1 秒；落地清零跳跃次数。</x:v>
      </x:c>
      <x:c r="E8" s="11" t="str">
        <x:v>S 只让玩家向下穿过单向平台，不穿地面。</x:v>
      </x:c>
      <x:c r="F8" s="11" t="str">
        <x:v>现状 S3</x:v>
      </x:c>
    </x:row>
    <x:row r="9" ht="77" customHeight="1">
      <x:c r="A9" s="12" t="str">
        <x:v>MOV-03</x:v>
      </x:c>
      <x:c r="B9" s="12" t="str">
        <x:v>冲刺</x:v>
      </x:c>
      <x:c r="C9" s="12" t="str">
        <x:v>Shift 或右键，当前时间达到冲刺就绪时间。</x:v>
      </x:c>
      <x:c r="D9" s="12" t="str">
        <x:v>有移动输入时按输入方向，无输入时按瞄准左右方向；持续期垂直速度为 0，并获得冲刺无敌。</x:v>
      </x:c>
      <x:c r="E9" s="12" t="str">
        <x:v>冷却从施放计时；机动冷却只改变本局通用冲刺。</x:v>
      </x:c>
      <x:c r="F9" s="12" t="str">
        <x:v>现状 S3</x:v>
      </x:c>
    </x:row>
    <x:row r="10" ht="77" customHeight="1">
      <x:c r="A10" s="11" t="str">
        <x:v>FIR-01</x:v>
      </x:c>
      <x:c r="B10" s="11" t="str">
        <x:v>射击与弹药</x:v>
      </x:c>
      <x:c r="C10" s="11" t="str">
        <x:v>按住左键，达到下一次射击时间，机枪未过热。</x:v>
      </x:c>
      <x:c r="D10" s="11" t="str">
        <x:v>按携带武器间隔发射，子弹从实际枪口生成；无限弹药，无换弹状态。</x:v>
      </x:c>
      <x:c r="E10" s="11" t="str">
        <x:v>设置和局内均不支持临时切枪，补给不会解除锁定。</x:v>
      </x:c>
      <x:c r="F10" s="11" t="str">
        <x:v>现状 S3</x:v>
      </x:c>
    </x:row>
    <x:row r="11" ht="77" customHeight="1">
      <x:c r="A11" s="12" t="str">
        <x:v>FIR-02</x:v>
      </x:c>
      <x:c r="B11" s="12" t="str">
        <x:v>弹丸与碰撞</x:v>
      </x:c>
      <x:c r="C11" s="12" t="str">
        <x:v>每帧根据前后坐标检测扫掠线段。</x:v>
      </x:c>
      <x:c r="D11" s="12" t="str">
        <x:v>普通敌人命中阈值 0.6、Boss 1.45；同一弹丸同一目标只伤害一次；非穿透命中即销毁。</x:v>
      </x:c>
      <x:c r="E11" s="12" t="str">
        <x:v>当前子弹不做平台/墙阻挡；本期保持或更改必须在 D04 决策。</x:v>
      </x:c>
      <x:c r="F11" s="12" t="str">
        <x:v>现状 S3</x:v>
      </x:c>
    </x:row>
    <x:row r="12" ht="77" customHeight="1">
      <x:c r="A12" s="11" t="str">
        <x:v>DMG-01</x:v>
      </x:c>
      <x:c r="B12" s="11" t="str">
        <x:v>玩家伤害</x:v>
      </x:c>
      <x:c r="C12" s="11" t="str">
        <x:v>敌方弹丸命中玩家半径内。</x:v>
      </x:c>
      <x:c r="D12" s="11" t="str">
        <x:v>非无敌时扣生命，给 0.65 秒受伤无敌，连击归零；生命为 0 进入失败。</x:v>
      </x:c>
      <x:c r="E12" s="11" t="str">
        <x:v>处于无敌仍会消耗该敌弹；离开 Playing 状态不扣血。</x:v>
      </x:c>
      <x:c r="F12" s="11" t="str">
        <x:v>现状 S3</x:v>
      </x:c>
    </x:row>
    <x:row r="13" ht="77" customHeight="1">
      <x:c r="A13" s="12" t="str">
        <x:v>DMG-02</x:v>
      </x:c>
      <x:c r="B13" s="12" t="str">
        <x:v>敌方伤害</x:v>
      </x:c>
      <x:c r="C13" s="12" t="str">
        <x:v>携带枪械的弹丸命中敌人。</x:v>
      </x:c>
      <x:c r="D13" s="12" t="str">
        <x:v>升级后弹丸伤害取整，霰弹按距离衰减后取整，若命中扫描目标再乘 1.5 并取整。</x:v>
      </x:c>
      <x:c r="E13" s="12" t="str">
        <x:v>炮台 gun=-1 不参与扫描增伤；穿透收益按实际命中目标分别结算。</x:v>
      </x:c>
      <x:c r="F13" s="12" t="str">
        <x:v>现状 S3</x:v>
      </x:c>
    </x:row>
    <x:row r="14" ht="77" customHeight="1">
      <x:c r="A14" s="11" t="str">
        <x:v>SKL-00</x:v>
      </x:c>
      <x:c r="B14" s="11" t="str">
        <x:v>技能共通</x:v>
      </x:c>
      <x:c r="C14" s="11" t="str">
        <x:v>Playing 且 clock≥skillReady，按 Q。</x:v>
      </x:c>
      <x:c r="D14" s="11" t="str">
        <x:v>先写入技能冷却与反馈，再执行职业效果；切关清除场上技能并令技能立即可用。</x:v>
      </x:c>
      <x:c r="E14" s="11" t="str">
        <x:v>冷却从施放开始，空放也消耗；暂停冻结游戏 clock。</x:v>
      </x:c>
      <x:c r="F14" s="11" t="str">
        <x:v>现状 S5</x:v>
      </x:c>
    </x:row>
    <x:row r="15" ht="77" customHeight="1">
      <x:c r="A15" s="12" t="str">
        <x:v>SKL-01</x:v>
      </x:c>
      <x:c r="B15" s="12" t="str">
        <x:v>突击双枪</x:v>
      </x:c>
      <x:c r="C15" s="12" t="str">
        <x:v>当前职业为突击兵。</x:v>
      </x:c>
      <x:c r="D15" s="12" t="str">
        <x:v>持续 5 秒复制携带枪械；两个独立枪口按同一间隔发射；每把枪各自产生弹丸和热量。</x:v>
      </x:c>
      <x:c r="E15" s="12" t="str">
        <x:v>技能结束回单枪；不能把机枪的双枪理论 DPS 当成无限持续收益。</x:v>
      </x:c>
      <x:c r="F15" s="12" t="str">
        <x:v>现状 S2/S3/S5</x:v>
      </x:c>
    </x:row>
    <x:row r="16" ht="77" customHeight="1">
      <x:c r="A16" s="11" t="str">
        <x:v>SKL-02</x:v>
      </x:c>
      <x:c r="B16" s="11" t="str">
        <x:v>医疗急救</x:v>
      </x:c>
      <x:c r="C16" s="11" t="str">
        <x:v>当前职业为医疗兵。</x:v>
      </x:c>
      <x:c r="D16" s="11" t="str">
        <x:v>瞬间回复 40 点生命，上限截断；获得 2 秒无敌；14 秒后可再次施放。</x:v>
      </x:c>
      <x:c r="E16" s="11" t="str">
        <x:v>满血也允许施放并消耗冷却，可用于无敌避弹。</x:v>
      </x:c>
      <x:c r="F16" s="11" t="str">
        <x:v>现状 S2/S5</x:v>
      </x:c>
    </x:row>
    <x:row r="17" ht="77" customHeight="1">
      <x:c r="A17" s="12" t="str">
        <x:v>SKL-03</x:v>
      </x:c>
      <x:c r="B17" s="12" t="str">
        <x:v>工程炮台</x:v>
      </x:c>
      <x:c r="C17" s="12" t="str">
        <x:v>当前职业为工程师。</x:v>
      </x:c>
      <x:c r="D17" s="12" t="str">
        <x:v>在自身附近放置炮台，持续 8 秒，选最近敌人；弹伤 22、射击间隔 0.22 秒；冷却 15 秒。</x:v>
      </x:c>
      <x:c r="E17" s="12" t="str">
        <x:v>无敌人时不射击但持续时间仍流逝；期间新敌人可被索敌；没有独立射程筛选。</x:v>
      </x:c>
      <x:c r="F17" s="12" t="str">
        <x:v>现状 S2/S5</x:v>
      </x:c>
    </x:row>
    <x:row r="18" ht="77" customHeight="1">
      <x:c r="A18" s="11" t="str">
        <x:v>SKL-04</x:v>
      </x:c>
      <x:c r="B18" s="11" t="str">
        <x:v>侦察扫描</x:v>
      </x:c>
      <x:c r="C18" s="11" t="str">
        <x:v>当前职业为侦察兵，Q 可用。</x:v>
      </x:c>
      <x:c r="D18" s="11" t="str">
        <x:v>记录施放时 14 单位内现有敌人，标记 6 秒；枪械伤害+50%；冷却 6 秒。</x:v>
      </x:c>
      <x:c r="E18" s="11" t="str">
        <x:v>第 5.999 秒不可重施，第 6 秒可重施；标记跟随离开范围的目标；新生敌人不自动补标。</x:v>
      </x:c>
      <x:c r="F18" s="11" t="str">
        <x:v>现状 S2/S5</x:v>
      </x:c>
    </x:row>
    <x:row r="19" ht="77" customHeight="1">
      <x:c r="A19" s="12" t="str">
        <x:v>SKL-05</x:v>
      </x:c>
      <x:c r="B19" s="12" t="str">
        <x:v>扫描状态清理</x:v>
      </x:c>
      <x:c r="C19" s="12" t="str">
        <x:v>标记结束、死亡、换关、重开或返回菜单。</x:v>
      </x:c>
      <x:c r="D19" s="12" t="str">
        <x:v>到期目标不再增伤；换关与重开清空敌人和标记；无位移、无速度重置、无无敌。</x:v>
      </x:c>
      <x:c r="E19" s="12" t="str">
        <x:v>单纯远离目标不会提前取消标记；死亡后不得继续结算伤害。</x:v>
      </x:c>
      <x:c r="F19" s="12" t="str">
        <x:v>现状 S3/S5</x:v>
      </x:c>
    </x:row>
    <x:row r="20" ht="77" customHeight="1">
      <x:c r="A20" s="11" t="str">
        <x:v>HET-01</x:v>
      </x:c>
      <x:c r="B20" s="11" t="str">
        <x:v>机枪过热</x:v>
      </x:c>
      <x:c r="C20" s="11" t="str">
        <x:v>每次发射后增加 0.065×枪口数。</x:v>
      </x:c>
      <x:c r="D20" s="11" t="str">
        <x:v>热量钳制到 1，达到 0.99 过热锁定；普通每秒降 0.18，过热降 0.35，至 0.1 解锁。</x:v>
      </x:c>
      <x:c r="E20" s="11" t="str">
        <x:v>即使按住射击也能自动冷却；射速强化和双枪改变积热速度。</x:v>
      </x:c>
      <x:c r="F20" s="11" t="str">
        <x:v>现状 S2/S5</x:v>
      </x:c>
    </x:row>
    <x:row r="21" ht="77" customHeight="1">
      <x:c r="A21" s="12" t="str">
        <x:v>SPN-01</x:v>
      </x:c>
      <x:c r="B21" s="12" t="str">
        <x:v>刷怪</x:v>
      </x:c>
      <x:c r="C21" s="12" t="str">
        <x:v>spawned&lt;配额，达到刷新时间，场上敌人少于 5。</x:v>
      </x:c>
      <x:c r="D21" s="12" t="str">
        <x:v>类型按 spawned%3 轮换；通常出现在玩家右 13 单位，每第四只在左 9 单位；位置限制在地图内。</x:v>
      </x:c>
      <x:c r="E21" s="12" t="str">
        <x:v>这是现状动态刷怪，不应把关卡脚本中的建议遭遇当成已摆放敌人。</x:v>
      </x:c>
      <x:c r="F21" s="12" t="str">
        <x:v>现状 S3</x:v>
      </x:c>
    </x:row>
    <x:row r="22" ht="77" customHeight="1">
      <x:c r="A22" s="11" t="str">
        <x:v>SPN-02</x:v>
      </x:c>
      <x:c r="B22" s="11" t="str">
        <x:v>刷怪打磨</x:v>
      </x:c>
      <x:c r="C22" s="11" t="str">
        <x:v>方案：为刷怪补前摇与可编辑遭遇信息。</x:v>
      </x:c>
      <x:c r="D22" s="11" t="str">
        <x:v>先在第一关验证预警、出生点与镜头关系，再决定是否全关替换动态刷怪。</x:v>
      </x:c>
      <x:c r="E22" s="11" t="str">
        <x:v>需与 S6 Prefab 和工作台兼容；不强行一次性重做 AI。</x:v>
      </x:c>
      <x:c r="F22" s="11" t="str">
        <x:v>方案 W05</x:v>
      </x:c>
    </x:row>
    <x:row r="23" ht="77" customHeight="1">
      <x:c r="A23" s="12" t="str">
        <x:v>BOS-01</x:v>
      </x:c>
      <x:c r="B23" s="12" t="str">
        <x:v>Boss 阶段</x:v>
      </x:c>
      <x:c r="C23" s="12" t="str">
        <x:v>生命低于最大值的一半。</x:v>
      </x:c>
      <x:c r="D23" s="12" t="str">
        <x:v>从每轮 5 发、1.3 秒间隔改为 9 发、0.85 秒间隔；基础弹伤 16，实际乘难度伤害倍率。</x:v>
      </x:c>
      <x:c r="E23" s="12" t="str">
        <x:v>恰好半血不进入“低于半血”条件；阶段表现前摇为新增制作项。</x:v>
      </x:c>
      <x:c r="F23" s="12" t="str">
        <x:v>现状 S3；方案 W06</x:v>
      </x:c>
    </x:row>
    <x:row r="24" ht="77" customHeight="1">
      <x:c r="A24" s="11" t="str">
        <x:v>REC-01</x:v>
      </x:c>
      <x:c r="B24" s="11" t="str">
        <x:v>回复掉落</x:v>
      </x:c>
      <x:c r="C24" s="11" t="str">
        <x:v>累计击杀数每满 3 的倍数。</x:v>
      </x:c>
      <x:c r="D24" s="11" t="str">
        <x:v>生成回复物，存活 12 秒；2.2 单位内吸附，0.6 内拾取，回复 15，上限截断。</x:v>
      </x:c>
      <x:c r="E24" s="11" t="str">
        <x:v>跨关清空场上掉落；不等同武器掉落或货币。</x:v>
      </x:c>
      <x:c r="F24" s="11" t="str">
        <x:v>现状 S3</x:v>
      </x:c>
    </x:row>
    <x:row r="25" ht="77" customHeight="1">
      <x:c r="A25" s="12" t="str">
        <x:v>SCO-01</x:v>
      </x:c>
      <x:c r="B25" s="12" t="str">
        <x:v>得分与连击</x:v>
      </x:c>
      <x:c r="C25" s="12" t="str">
        <x:v>击杀敌人后。</x:v>
      </x:c>
      <x:c r="D25" s="12" t="str">
        <x:v>连击+1，3.5 秒内续接；单次得分100×min(连击,10)，受伤或超时断连。</x:v>
      </x:c>
      <x:c r="E25" s="12" t="str">
        <x:v>本地保存最高分；未保存完整战局。</x:v>
      </x:c>
      <x:c r="F25" s="12" t="str">
        <x:v>现状 S3</x:v>
      </x:c>
    </x:row>
    <x:row r="26" ht="77" customHeight="1">
      <x:c r="A26" s="11" t="str">
        <x:v>UPG-01</x:v>
      </x:c>
      <x:c r="B26" s="11" t="str">
        <x:v>补给抽选</x:v>
      </x:c>
      <x:c r="C26" s="11" t="str">
        <x:v>第 1—7 关满足目标并进入有效出口。</x:v>
      </x:c>
      <x:c r="D26" s="11" t="str">
        <x:v>五类池中不放回抽三项，选择一项后立刻进入下一关，强化保持至本局结束。</x:v>
      </x:c>
      <x:c r="E26" s="11" t="str">
        <x:v>重复选择已关闭页面不得叠加两次；重开清除升级。</x:v>
      </x:c>
      <x:c r="F26" s="11" t="str">
        <x:v>现状 S3</x:v>
      </x:c>
    </x:row>
    <x:row r="27" ht="77" customHeight="1">
      <x:c r="A27" s="12" t="str">
        <x:v>OBJ-01</x:v>
      </x:c>
      <x:c r="B27" s="12" t="str">
        <x:v>任务门</x:v>
      </x:c>
      <x:c r="C27" s="12" t="str">
        <x:v>每帧更新目标状态。</x:v>
      </x:c>
      <x:c r="D27" s="12" t="str">
        <x:v>清敌看配额与场上敌人数；收集看回收数；机关看顺序；终关为 Boss 与机关同时完成。</x:v>
      </x:c>
      <x:c r="E27" s="12" t="str">
        <x:v>第 4—7 关存活敌人不阻止目标完成；机关输入错误全部重置。</x:v>
      </x:c>
      <x:c r="F27" s="12" t="str">
        <x:v>现状 S5</x:v>
      </x:c>
    </x:row>
    <x:row r="28" ht="77" customHeight="1">
      <x:c r="A28" s="11" t="str">
        <x:v>END-01</x:v>
      </x:c>
      <x:c r="B28" s="11" t="str">
        <x:v>最终结算</x:v>
      </x:c>
      <x:c r="C28" s="11" t="str">
        <x:v>第八关同时完成两个目标且 State=Playing。</x:v>
      </x:c>
      <x:c r="D28" s="11" t="str">
        <x:v>在玩家当前位置进入 Victory，清理弹丸，停止炮台，保存最高分。</x:v>
      </x:c>
      <x:c r="E28" s="11" t="str">
        <x:v>两个目标任意顺序；暂停或已失败不得再次触发胜利。</x:v>
      </x:c>
      <x:c r="F28" s="11" t="str">
        <x:v>现状 S5</x:v>
      </x:c>
    </x:row>
    <x:row r="29" ht="77" customHeight="1">
      <x:c r="A29" s="12" t="str">
        <x:v>TIM-01</x:v>
      </x:c>
      <x:c r="B29" s="12" t="str">
        <x:v>时间基准</x:v>
      </x:c>
      <x:c r="C29" s="12" t="str">
        <x:v>当前游戏时钟按 min(Time.deltaTime,0.033) 推进。</x:v>
      </x:c>
      <x:c r="D29" s="12" t="str">
        <x:v>技能、连击与大部分战斗时序依赖该 clock。</x:v>
      </x:c>
      <x:c r="E29" s="12" t="str">
        <x:v>低帧率可能使游戏时间慢于真实时间，需实测后决定是否拆分逻辑与渲染时间。</x:v>
      </x:c>
      <x:c r="F29" s="12" t="str">
        <x:v>待验证风险 R04</x:v>
      </x:c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.75" hidden="0" customWidth="1"/>
    <x:col min="2" max="2" width="15.630000114440918" hidden="0" customWidth="1"/>
    <x:col min="3" max="3" width="11.880000114440918" hidden="0" customWidth="1"/>
    <x:col min="4" max="4" width="11.880000114440918" hidden="0" customWidth="1"/>
    <x:col min="5" max="5" width="12.5" hidden="0" customWidth="1"/>
    <x:col min="6" max="6" width="10.630000114440918" hidden="0" customWidth="1"/>
    <x:col min="7" max="7" width="35" hidden="0" customWidth="1"/>
    <x:col min="8" max="8" width="28.75" hidden="0" customWidth="1"/>
    <x:col min="9" max="9" width="32.5" hidden="0" customWidth="1"/>
    <x:col min="10" max="10" width="2.75" hidden="0" customWidth="1"/>
    <x:col min="11" max="11" width="12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职业定位与技能规则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5" t="str">
        <x:v>数值来自 Balance.asset。黄色为可编辑试算输入，覆盖率为时长 ÷ 冷却的理论上限。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9" t="str">
        <x:v>职业</x:v>
      </x:c>
      <x:c r="B6" s="9" t="str">
        <x:v>定位</x:v>
      </x:c>
      <x:c r="C6" s="9" t="str">
        <x:v>持续（秒）</x:v>
      </x:c>
      <x:c r="D6" s="9" t="str">
        <x:v>冷却（秒）</x:v>
      </x:c>
      <x:c r="E6" s="9" t="str">
        <x:v>理论覆盖率</x:v>
      </x:c>
      <x:c r="F6" s="9" t="str">
        <x:v>移速</x:v>
      </x:c>
      <x:c r="G6" s="9" t="str">
        <x:v>技能规则</x:v>
      </x:c>
      <x:c r="H6" s="9" t="str">
        <x:v>视觉反馈</x:v>
      </x:c>
      <x:c r="I6" s="9" t="str">
        <x:v>边界</x:v>
      </x:c>
      <x:c r="J6" s="9" t="str"/>
      <x:c r="K6" s="9" t="str">
        <x:v>依据</x:v>
      </x:c>
    </x:row>
    <x:row r="7" ht="70" customHeight="1">
      <x:c r="A7" s="12" t="str">
        <x:v>突击兵</x:v>
      </x:c>
      <x:c r="B7" s="12" t="str">
        <x:v>爆发输出</x:v>
      </x:c>
      <x:c r="C7" s="16" t="n">
        <x:v>5</x:v>
      </x:c>
      <x:c r="D7" s="16" t="n">
        <x:v>12</x:v>
      </x:c>
      <x:c r="E7" s="17" t="n">
        <x:f>C7/D7</x:f>
        <x:v>0.4166666666666667</x:v>
      </x:c>
      <x:c r="F7" s="16" t="n">
        <x:v>7.4</x:v>
      </x:c>
      <x:c r="G7" s="12" t="str">
        <x:v>幻化当前枪械副本，双枪口同步射击，保持当前枪械特性。</x:v>
      </x:c>
      <x:c r="H7" s="12" t="str">
        <x:v>橙色过载环、双枪模型与双枪口火光。</x:v>
      </x:c>
      <x:c r="I7" s="12" t="str">
        <x:v>双枪不是切换武器；机枪同时累积两把枪的热量。</x:v>
      </x:c>
      <x:c r="J7" s="12" t="str"/>
      <x:c r="K7" s="12" t="str">
        <x:v>S2、S5</x:v>
      </x:c>
    </x:row>
    <x:row r="8" ht="70" customHeight="1">
      <x:c r="A8" s="11" t="str">
        <x:v>医疗兵</x:v>
      </x:c>
      <x:c r="B8" s="11" t="str">
        <x:v>生存容错</x:v>
      </x:c>
      <x:c r="C8" s="16" t="n">
        <x:v>2</x:v>
      </x:c>
      <x:c r="D8" s="16" t="n">
        <x:v>14</x:v>
      </x:c>
      <x:c r="E8" s="18" t="n">
        <x:f>C8/D8</x:f>
        <x:v>0.14285714285714285</x:v>
      </x:c>
      <x:c r="F8" s="16" t="n">
        <x:v>7.4</x:v>
      </x:c>
      <x:c r="G8" s="11" t="str">
        <x:v>回复 40 点生命，不超过生命上限，获得技能持续时间内的无敌。</x:v>
      </x:c>
      <x:c r="H8" s="11" t="str">
        <x:v>绿色治疗波、医疗十字与回复数字。</x:v>
      </x:c>
      <x:c r="I8" s="11" t="str">
        <x:v>不会提高生命上限；无敌为职业技能效果。</x:v>
      </x:c>
      <x:c r="J8" s="11" t="str"/>
      <x:c r="K8" s="11" t="str">
        <x:v>S2、S5</x:v>
      </x:c>
    </x:row>
    <x:row r="9" ht="70" customHeight="1">
      <x:c r="A9" s="12" t="str">
        <x:v>工程师</x:v>
      </x:c>
      <x:c r="B9" s="12" t="str">
        <x:v>阵地支援</x:v>
      </x:c>
      <x:c r="C9" s="16" t="n">
        <x:v>8</x:v>
      </x:c>
      <x:c r="D9" s="16" t="n">
        <x:v>15</x:v>
      </x:c>
      <x:c r="E9" s="17" t="n">
        <x:f>C9/D9</x:f>
        <x:v>0.5333333333333333</x:v>
      </x:c>
      <x:c r="F9" s="16" t="n">
        <x:v>7.4</x:v>
      </x:c>
      <x:c r="G9" s="12" t="str">
        <x:v>在自身附近部署自动炮台，攻击最近目标，单发 22、间隔 0.22 秒。</x:v>
      </x:c>
      <x:c r="H9" s="12" t="str">
        <x:v>蓝色部署网格、自动索敌炮台与旋转枪口。</x:v>
      </x:c>
      <x:c r="I9" s="12" t="str">
        <x:v>没有敌人时不发射；炮台不享受弱点扫描增伤。</x:v>
      </x:c>
      <x:c r="J9" s="12" t="str"/>
      <x:c r="K9" s="12" t="str">
        <x:v>S2、S5</x:v>
      </x:c>
    </x:row>
    <x:row r="10" ht="70" customHeight="1">
      <x:c r="A10" s="11" t="str">
        <x:v>侦察兵</x:v>
      </x:c>
      <x:c r="B10" s="11" t="str">
        <x:v>标记增伤</x:v>
      </x:c>
      <x:c r="C10" s="16" t="n">
        <x:v>6</x:v>
      </x:c>
      <x:c r="D10" s="16" t="n">
        <x:v>6</x:v>
      </x:c>
      <x:c r="E10" s="18" t="n">
        <x:f>C10/D10</x:f>
        <x:v>1</x:v>
      </x:c>
      <x:c r="F10" s="16" t="n">
        <x:v>8.6</x:v>
      </x:c>
      <x:c r="G10" s="11" t="str">
        <x:v>扫描施放时 14 米内现有敌人，对被标记目标的枪械伤害提高 50%。</x:v>
      </x:c>
      <x:c r="H10" s="11" t="str">
        <x:v>紫色雷达扫线、锁定框、标记数量和倒计时，紫色增伤数字。</x:v>
      </x:c>
      <x:c r="I10" s="11" t="str">
        <x:v>可标记 Boss；新敌人不补标。施放不位移、不赋予无敌，Shift 仍是通用冲刺。</x:v>
      </x:c>
      <x:c r="J10" s="11" t="str"/>
      <x:c r="K10" s="11" t="str">
        <x:v>S2、S5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4" customHeight="1">
      <x:c r="A13" s="19" t="str">
        <x:v>覆盖率只反映数值时长上限，不代表实战命中或持续收益。医疗兵的 2 秒用于无敌时间，治疗量为瞬时结算。侦察兵第 6 秒即可再次扫描，新生成敌人需重新施放。</x:v>
      </x:c>
      <x:c r="B13" s="19"/>
      <x:c r="C13" s="19"/>
      <x:c r="D13" s="19"/>
      <x:c r="E13" s="19"/>
      <x:c r="F13" s="19"/>
      <x:c r="G13" s="19"/>
      <x:c r="H13" s="19"/>
      <x:c r="I13" s="19"/>
      <x:c r="J13" s="2"/>
      <x:c r="K13" s="2"/>
    </x:row>
    <x:row r="14" ht="24" customHeight="1">
      <x:c r="A14" s="19"/>
      <x:c r="B14" s="19"/>
      <x:c r="C14" s="19"/>
      <x:c r="D14" s="19"/>
      <x:c r="E14" s="19"/>
      <x:c r="F14" s="19"/>
      <x:c r="G14" s="19"/>
      <x:c r="H14" s="19"/>
      <x:c r="I14" s="19"/>
      <x:c r="J14" s="2"/>
      <x:c r="K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8" customHeight="1">
      <x:c r="A17" s="14" t="str">
        <x:v>职业与枪械搭配建议</x:v>
      </x:c>
      <x:c r="B17" s="13"/>
      <x:c r="C17" s="13"/>
      <x:c r="D17" s="13"/>
      <x:c r="E17" s="13"/>
      <x:c r="F17" s="13"/>
      <x:c r="G17" s="13"/>
      <x:c r="H17" s="13"/>
      <x:c r="I17" s="13"/>
      <x:c r="J17" s="2"/>
      <x:c r="K17" s="2"/>
    </x:row>
    <x:row r="18" ht="32" customHeight="1">
      <x:c r="A18" s="9" t="str">
        <x:v>职业</x:v>
      </x:c>
      <x:c r="B18" s="9" t="str">
        <x:v>建议搭配</x:v>
      </x:c>
      <x:c r="C18" s="9" t="str">
        <x:v>理由</x:v>
      </x:c>
      <x:c r="D18" s="9"/>
      <x:c r="E18" s="9"/>
      <x:c r="F18" s="9"/>
      <x:c r="G18" s="9"/>
      <x:c r="H18" s="9"/>
      <x:c r="I18" s="9" t="str">
        <x:v>状态</x:v>
      </x:c>
      <x:c r="J18" s="2"/>
      <x:c r="K18" s="2"/>
    </x:row>
    <x:row r="19" ht="40" customHeight="1">
      <x:c r="A19" s="12" t="str">
        <x:v>突击兵</x:v>
      </x:c>
      <x:c r="B19" s="12" t="str">
        <x:v>霰弹 / 步枪</x:v>
      </x:c>
      <x:c r="C19" s="12" t="str">
        <x:v>近距双组弹丸或稳定双枪输出。机枪双枪积热须另测。</x:v>
      </x:c>
      <x:c r="D19" s="12"/>
      <x:c r="E19" s="12"/>
      <x:c r="F19" s="12"/>
      <x:c r="G19" s="12"/>
      <x:c r="H19" s="12"/>
      <x:c r="I19" s="12" t="str">
        <x:v>策划建议</x:v>
      </x:c>
      <x:c r="J19" s="2"/>
      <x:c r="K19" s="2"/>
    </x:row>
    <x:row r="20" ht="40" customHeight="1">
      <x:c r="A20" s="11" t="str">
        <x:v>医疗兵</x:v>
      </x:c>
      <x:c r="B20" s="11" t="str">
        <x:v>步枪 / 冲锋枪</x:v>
      </x:c>
      <x:c r="C20" s="11" t="str">
        <x:v>利用治疗与短暂无敌维持近中距离战斗。</x:v>
      </x:c>
      <x:c r="D20" s="11"/>
      <x:c r="E20" s="11"/>
      <x:c r="F20" s="11"/>
      <x:c r="G20" s="11"/>
      <x:c r="H20" s="11"/>
      <x:c r="I20" s="11" t="str">
        <x:v>策划建议</x:v>
      </x:c>
      <x:c r="J20" s="2"/>
      <x:c r="K20" s="2"/>
    </x:row>
    <x:row r="21" ht="40" customHeight="1">
      <x:c r="A21" s="12" t="str">
        <x:v>工程师</x:v>
      </x:c>
      <x:c r="B21" s="12" t="str">
        <x:v>狙击 / 步枪</x:v>
      </x:c>
      <x:c r="C21" s="12" t="str">
        <x:v>炮台提供持续支援，主武器负责重点目标。</x:v>
      </x:c>
      <x:c r="D21" s="12"/>
      <x:c r="E21" s="12"/>
      <x:c r="F21" s="12"/>
      <x:c r="G21" s="12"/>
      <x:c r="H21" s="12"/>
      <x:c r="I21" s="12" t="str">
        <x:v>策划建议</x:v>
      </x:c>
      <x:c r="J21" s="2"/>
      <x:c r="K21" s="2"/>
    </x:row>
    <x:row r="22" ht="40" customHeight="1">
      <x:c r="A22" s="11" t="str">
        <x:v>侦察兵</x:v>
      </x:c>
      <x:c r="B22" s="11" t="str">
        <x:v>狙击 / 步枪</x:v>
      </x:c>
      <x:c r="C22" s="11" t="str">
        <x:v>提前标记高血量目标，利用增伤集中输出。</x:v>
      </x:c>
      <x:c r="D22" s="11"/>
      <x:c r="E22" s="11"/>
      <x:c r="F22" s="11"/>
      <x:c r="G22" s="11"/>
      <x:c r="H22" s="11"/>
      <x:c r="I22" s="11" t="str">
        <x:v>策划建议</x:v>
      </x:c>
      <x:c r="J22" s="2"/>
      <x:c r="K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</x:sheetData>
  <x:mergeCells>
    <x:mergeCell ref="A13:I14"/>
    <x:mergeCell ref="C18:H18"/>
    <x:mergeCell ref="C19:H19"/>
    <x:mergeCell ref="C20:H20"/>
    <x:mergeCell ref="C21:H21"/>
    <x:mergeCell ref="C22:H22"/>
  </x:mergeCells>
  <x:dataValidations count="1">
    <x:dataValidation type="decimal" operator="greaterThan" sqref="C7:D10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.5" hidden="0" customWidth="1"/>
    <x:col min="2" max="2" width="10" hidden="0" customWidth="1"/>
    <x:col min="3" max="3" width="9.380000114440918" hidden="0" customWidth="1"/>
    <x:col min="4" max="4" width="11.25" hidden="0" customWidth="1"/>
    <x:col min="5" max="5" width="11.25" hidden="0" customWidth="1"/>
    <x:col min="6" max="6" width="10" hidden="0" customWidth="1"/>
    <x:col min="7" max="7" width="12.5" hidden="0" customWidth="1"/>
    <x:col min="8" max="8" width="12.5" hidden="0" customWidth="1"/>
    <x:col min="9" max="9" width="13.75" hidden="0" customWidth="1"/>
    <x:col min="10" max="10" width="37.5" hidden="0" customWidth="1"/>
    <x:col min="11" max="11" width="2.75" hidden="0" customWidth="1"/>
    <x:col min="12" max="12" width="13.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枪械特性与理论输出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5" t="str">
        <x:v>无升级、单枪。黄色为试算输入；射程为弹速 × 寿命，不计碰撞或出界。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9" t="str">
        <x:v>枪械</x:v>
      </x:c>
      <x:c r="B6" s="9" t="str">
        <x:v>弹丸伤害</x:v>
      </x:c>
      <x:c r="C6" s="9" t="str">
        <x:v>弹丸数</x:v>
      </x:c>
      <x:c r="D6" s="9" t="str">
        <x:v>间隔（秒）</x:v>
      </x:c>
      <x:c r="E6" s="9" t="str">
        <x:v>弹速</x:v>
      </x:c>
      <x:c r="F6" s="9" t="str">
        <x:v>寿命（秒）</x:v>
      </x:c>
      <x:c r="G6" s="9" t="str">
        <x:v>理论射程</x:v>
      </x:c>
      <x:c r="H6" s="9" t="str">
        <x:v>单次基础伤害</x:v>
      </x:c>
      <x:c r="I6" s="9" t="str">
        <x:v>理论 DPS</x:v>
      </x:c>
      <x:c r="J6" s="9" t="str">
        <x:v>性质与限制</x:v>
      </x:c>
      <x:c r="K6" s="9" t="str"/>
      <x:c r="L6" s="9" t="str">
        <x:v>依据</x:v>
      </x:c>
    </x:row>
    <x:row r="7" ht="55" customHeight="1">
      <x:c r="A7" s="12" t="str">
        <x:v>脉冲步枪</x:v>
      </x:c>
      <x:c r="B7" s="20" t="n">
        <x:v>16</x:v>
      </x:c>
      <x:c r="C7" s="20" t="n">
        <x:v>1</x:v>
      </x:c>
      <x:c r="D7" s="21" t="n">
        <x:v>0.145</x:v>
      </x:c>
      <x:c r="E7" s="22" t="n">
        <x:v>28</x:v>
      </x:c>
      <x:c r="F7" s="22" t="n">
        <x:v>1.5</x:v>
      </x:c>
      <x:c r="G7" s="23" t="n">
        <x:f>E7*F7</x:f>
        <x:v>42</x:v>
      </x:c>
      <x:c r="H7" s="23" t="n">
        <x:f>B7*C7</x:f>
        <x:v>16</x:v>
      </x:c>
      <x:c r="I7" s="25" t="n">
        <x:f>H7/D7</x:f>
        <x:v>110.3448275862069</x:v>
      </x:c>
      <x:c r="J7" s="12" t="str">
        <x:v>中距离稳定输出，无随机散布。</x:v>
      </x:c>
      <x:c r="K7" s="12" t="str"/>
      <x:c r="L7" s="12" t="str">
        <x:v>S2、S3</x:v>
      </x:c>
    </x:row>
    <x:row r="8" ht="55" customHeight="1">
      <x:c r="A8" s="11" t="str">
        <x:v>裂片霰弹</x:v>
      </x:c>
      <x:c r="B8" s="20" t="n">
        <x:v>13</x:v>
      </x:c>
      <x:c r="C8" s="20" t="n">
        <x:v>7</x:v>
      </x:c>
      <x:c r="D8" s="21" t="n">
        <x:v>0.65</x:v>
      </x:c>
      <x:c r="E8" s="22" t="n">
        <x:v>22</x:v>
      </x:c>
      <x:c r="F8" s="22" t="n">
        <x:v>0.55</x:v>
      </x:c>
      <x:c r="G8" s="24" t="n">
        <x:f>E8*F8</x:f>
        <x:v>12.100000000000001</x:v>
      </x:c>
      <x:c r="H8" s="24" t="n">
        <x:f>B8*C8</x:f>
        <x:v>91</x:v>
      </x:c>
      <x:c r="I8" s="26" t="n">
        <x:f>H8/D8</x:f>
        <x:v>140</x:v>
      </x:c>
      <x:c r="J8" s="11" t="str">
        <x:v>7 弹丸扇形，近距离爆发，距离衰减；基础总散射角 42°。</x:v>
      </x:c>
      <x:c r="K8" s="11" t="str"/>
      <x:c r="L8" s="11" t="str">
        <x:v>S2、S3</x:v>
      </x:c>
    </x:row>
    <x:row r="9" ht="55" customHeight="1">
      <x:c r="A9" s="12" t="str">
        <x:v>磁轨狙击枪</x:v>
      </x:c>
      <x:c r="B9" s="20" t="n">
        <x:v>100</x:v>
      </x:c>
      <x:c r="C9" s="20" t="n">
        <x:v>1</x:v>
      </x:c>
      <x:c r="D9" s="21" t="n">
        <x:v>1.05</x:v>
      </x:c>
      <x:c r="E9" s="22" t="n">
        <x:v>55</x:v>
      </x:c>
      <x:c r="F9" s="22" t="n">
        <x:v>1.6</x:v>
      </x:c>
      <x:c r="G9" s="23" t="n">
        <x:f>E9*F9</x:f>
        <x:v>88</x:v>
      </x:c>
      <x:c r="H9" s="23" t="n">
        <x:f>B9*C9</x:f>
        <x:v>100</x:v>
      </x:c>
      <x:c r="I9" s="25" t="n">
        <x:f>H9/D9</x:f>
        <x:v>95.23809523809524</x:v>
      </x:c>
      <x:c r="J9" s="12" t="str">
        <x:v>高速穿透多个敌人，单发高伤害，射击间隔较长。</x:v>
      </x:c>
      <x:c r="K9" s="12" t="str"/>
      <x:c r="L9" s="12" t="str">
        <x:v>S2、S3</x:v>
      </x:c>
    </x:row>
    <x:row r="10" ht="55" customHeight="1">
      <x:c r="A10" s="11" t="str">
        <x:v>重型机枪</x:v>
      </x:c>
      <x:c r="B10" s="20" t="n">
        <x:v>11</x:v>
      </x:c>
      <x:c r="C10" s="20" t="n">
        <x:v>1</x:v>
      </x:c>
      <x:c r="D10" s="21" t="n">
        <x:v>0.085</x:v>
      </x:c>
      <x:c r="E10" s="22" t="n">
        <x:v>30</x:v>
      </x:c>
      <x:c r="F10" s="22" t="n">
        <x:v>1.4</x:v>
      </x:c>
      <x:c r="G10" s="24" t="n">
        <x:f>E10*F10</x:f>
        <x:v>42</x:v>
      </x:c>
      <x:c r="H10" s="24" t="n">
        <x:f>B10*C10</x:f>
        <x:v>11</x:v>
      </x:c>
      <x:c r="I10" s="26" t="n">
        <x:f>H10/D10</x:f>
        <x:v>129.41176470588235</x:v>
      </x:c>
      <x:c r="J10" s="11" t="str">
        <x:v>随机散布 ±4°；持续射击过热，移动速度较慢。</x:v>
      </x:c>
      <x:c r="K10" s="11" t="str"/>
      <x:c r="L10" s="11" t="str">
        <x:v>S2、S3</x:v>
      </x:c>
    </x:row>
    <x:row r="11" ht="55" customHeight="1">
      <x:c r="A11" s="12" t="str">
        <x:v>蜂群冲锋枪</x:v>
      </x:c>
      <x:c r="B11" s="20" t="n">
        <x:v>8</x:v>
      </x:c>
      <x:c r="C11" s="20" t="n">
        <x:v>1</x:v>
      </x:c>
      <x:c r="D11" s="21" t="n">
        <x:v>0.065</x:v>
      </x:c>
      <x:c r="E11" s="22" t="n">
        <x:v>23</x:v>
      </x:c>
      <x:c r="F11" s="22" t="n">
        <x:v>0.72</x:v>
      </x:c>
      <x:c r="G11" s="23" t="n">
        <x:f>E11*F11</x:f>
        <x:v>16.56</x:v>
      </x:c>
      <x:c r="H11" s="23" t="n">
        <x:f>B11*C11</x:f>
        <x:v>8</x:v>
      </x:c>
      <x:c r="I11" s="25" t="n">
        <x:f>H11/D11</x:f>
        <x:v>123.07692307692307</x:v>
      </x:c>
      <x:c r="J11" s="12" t="str">
        <x:v>随机散布 ±9°，高射速与短射程，近距离追击。</x:v>
      </x:c>
      <x:c r="K11" s="12" t="str"/>
      <x:c r="L11" s="12" t="str">
        <x:v>S2、S3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19" t="str">
        <x:v>理论 DPS = 弹丸伤害 × 弹丸数 ÷ 射击间隔。霰弹假设全部弹丸命中且尚未衰减；机枪忽略过热停火；狙击未计入穿透多目标收益。不能据此直接判定强弱。</x:v>
      </x:c>
      <x:c r="B14" s="19"/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</x:row>
    <x:row r="15" ht="24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8" customHeight="1">
      <x:c r="A18" s="14" t="str">
        <x:v>热量与强化规则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2"/>
      <x:c r="L18" s="2"/>
    </x:row>
    <x:row r="19" ht="32" customHeight="1">
      <x:c r="A19" s="9" t="str">
        <x:v>规则</x:v>
      </x:c>
      <x:c r="B19" s="9" t="str">
        <x:v>当前定义</x:v>
      </x:c>
      <x:c r="C19" s="9"/>
      <x:c r="D19" s="9"/>
      <x:c r="E19" s="9"/>
      <x:c r="F19" s="9"/>
      <x:c r="G19" s="9" t="str">
        <x:v>策划用途</x:v>
      </x:c>
      <x:c r="H19" s="9"/>
      <x:c r="I19" s="9"/>
      <x:c r="J19" s="9" t="str">
        <x:v>依据</x:v>
      </x:c>
      <x:c r="K19" s="2"/>
      <x:c r="L19" s="2"/>
    </x:row>
    <x:row r="20" ht="55" customHeight="1">
      <x:c r="A20" s="12" t="str">
        <x:v>机枪热量</x:v>
      </x:c>
      <x:c r="B20" s="12" t="str">
        <x:v>单枪每次射击 +0.065，达到 0.99 锁定；普通冷却每秒 0.18，过热冷却每秒 0.35，降到 0.1 解锁。</x:v>
      </x:c>
      <x:c r="C20" s="12"/>
      <x:c r="D20" s="12"/>
      <x:c r="E20" s="12"/>
      <x:c r="F20" s="12"/>
      <x:c r="G20" s="12" t="str">
        <x:v>双枪时每次射击累加两份热量，不能将双枪理论输出当作无限持续输出。</x:v>
      </x:c>
      <x:c r="H20" s="12"/>
      <x:c r="I20" s="12"/>
      <x:c r="J20" s="12" t="str">
        <x:v>S2、S5</x:v>
      </x:c>
      <x:c r="K20" s="2"/>
      <x:c r="L20" s="2"/>
    </x:row>
    <x:row r="21" ht="55" customHeight="1">
      <x:c r="A21" s="11" t="str">
        <x:v>机枪持枪速度</x:v>
      </x:c>
      <x:c r="B21" s="11" t="str">
        <x:v>普通移速乘 6.3 / 7.4。</x:v>
      </x:c>
      <x:c r="C21" s="11"/>
      <x:c r="D21" s="11"/>
      <x:c r="E21" s="11"/>
      <x:c r="F21" s="11"/>
      <x:c r="G21" s="11" t="str">
        <x:v>高射速以站位和移动能力为代价。</x:v>
      </x:c>
      <x:c r="H21" s="11"/>
      <x:c r="I21" s="11"/>
      <x:c r="J21" s="11" t="str">
        <x:v>S2</x:v>
      </x:c>
      <x:c r="K21" s="2"/>
      <x:c r="L21" s="2"/>
    </x:row>
    <x:row r="22" ht="55" customHeight="1">
      <x:c r="A22" s="12" t="str">
        <x:v>伤害强化</x:v>
      </x:c>
      <x:c r="B22" s="12" t="str">
        <x:v>弹丸基础伤害乘（1+等级×25%）并取整。</x:v>
      </x:c>
      <x:c r="C22" s="12"/>
      <x:c r="D22" s="12"/>
      <x:c r="E22" s="12"/>
      <x:c r="F22" s="12"/>
      <x:c r="G22" s="12" t="str">
        <x:v>先按单弹丸结算，再判断命中和扫描增伤。</x:v>
      </x:c>
      <x:c r="H22" s="12"/>
      <x:c r="I22" s="12"/>
      <x:c r="J22" s="12" t="str">
        <x:v>S3</x:v>
      </x:c>
      <x:c r="K22" s="2"/>
      <x:c r="L22" s="2"/>
    </x:row>
    <x:row r="23" ht="55" customHeight="1">
      <x:c r="A23" s="11" t="str">
        <x:v>射速与分裂</x:v>
      </x:c>
      <x:c r="B23" s="11" t="str">
        <x:v>间隔除以（1+等级×18%）；弹丸数增加等级×2。</x:v>
      </x:c>
      <x:c r="C23" s="11"/>
      <x:c r="D23" s="11"/>
      <x:c r="E23" s="11"/>
      <x:c r="F23" s="11"/>
      <x:c r="G23" s="11" t="str">
        <x:v>强化当前携带武器，不开放局内换枪。</x:v>
      </x:c>
      <x:c r="H23" s="11"/>
      <x:c r="I23" s="11"/>
      <x:c r="J23" s="11" t="str">
        <x:v>S3</x:v>
      </x:c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</x:sheetData>
  <x:mergeCells>
    <x:mergeCell ref="A14:J15"/>
    <x:mergeCell ref="B19:F19"/>
    <x:mergeCell ref="G19:I19"/>
    <x:mergeCell ref="B20:F20"/>
    <x:mergeCell ref="G20:I20"/>
    <x:mergeCell ref="B21:F21"/>
    <x:mergeCell ref="G21:I21"/>
    <x:mergeCell ref="B22:F22"/>
    <x:mergeCell ref="G22:I22"/>
    <x:mergeCell ref="B23:F23"/>
    <x:mergeCell ref="G23:I23"/>
  </x:mergeCells>
  <x:dataValidations count="1">
    <x:dataValidation type="decimal" operator="greaterThan" sqref="D7:F11">
      <x:formula1>0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1299991607666" hidden="0" customWidth="1"/>
    <x:col min="2" max="2" width="11.25" hidden="0" customWidth="1"/>
    <x:col min="3" max="3" width="11.25" hidden="0" customWidth="1"/>
    <x:col min="4" max="4" width="11.880000114440918" hidden="0" customWidth="1"/>
    <x:col min="5" max="5" width="13.75" hidden="0" customWidth="1"/>
    <x:col min="6" max="6" width="13.75" hidden="0" customWidth="1"/>
    <x:col min="7" max="7" width="13.75" hidden="0" customWidth="1"/>
    <x:col min="8" max="8" width="16.25" hidden="0" customWidth="1"/>
    <x:col min="9" max="9" width="23.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武器、技能与关卡承压试算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5" t="str">
        <x:v>只用于调参假设验证；不代替实战。黄色为可修改参数，默认值来自当前配置或本页明确的测试假设。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9" t="str">
        <x:v>枪械</x:v>
      </x:c>
      <x:c r="B6" s="9" t="str">
        <x:v>基础伤害</x:v>
      </x:c>
      <x:c r="C6" s="9" t="str">
        <x:v>弹丸数</x:v>
      </x:c>
      <x:c r="D6" s="9" t="str">
        <x:v>间隔秒</x:v>
      </x:c>
      <x:c r="E6" s="9" t="str">
        <x:v>伤害等级</x:v>
      </x:c>
      <x:c r="F6" s="9" t="str">
        <x:v>射速等级</x:v>
      </x:c>
      <x:c r="G6" s="9" t="str">
        <x:v>分裂等级</x:v>
      </x:c>
      <x:c r="H6" s="9" t="str">
        <x:v>扫描倍率</x:v>
      </x:c>
      <x:c r="I6" s="9" t="str">
        <x:v>弹丸命中率</x:v>
      </x:c>
    </x:row>
    <x:row r="7" ht="41" customHeight="1">
      <x:c r="A7" s="12" t="str">
        <x:v>脉冲步枪</x:v>
      </x:c>
      <x:c r="B7" s="15" t="n">
        <x:v>16</x:v>
      </x:c>
      <x:c r="C7" s="15" t="n">
        <x:v>1</x:v>
      </x:c>
      <x:c r="D7" s="21" t="n">
        <x:v>0.145</x:v>
      </x:c>
      <x:c r="E7" s="15" t="n">
        <x:v>0</x:v>
      </x:c>
      <x:c r="F7" s="15" t="n">
        <x:v>0</x:v>
      </x:c>
      <x:c r="G7" s="15" t="n">
        <x:v>0</x:v>
      </x:c>
      <x:c r="H7" s="15" t="n">
        <x:v>1</x:v>
      </x:c>
      <x:c r="I7" s="27" t="n">
        <x:v>1</x:v>
      </x:c>
    </x:row>
    <x:row r="8" ht="41" customHeight="1">
      <x:c r="A8" s="11" t="str">
        <x:v>裂片霰弹</x:v>
      </x:c>
      <x:c r="B8" s="15" t="n">
        <x:v>13</x:v>
      </x:c>
      <x:c r="C8" s="15" t="n">
        <x:v>7</x:v>
      </x:c>
      <x:c r="D8" s="21" t="n">
        <x:v>0.65</x:v>
      </x:c>
      <x:c r="E8" s="15" t="n">
        <x:v>0</x:v>
      </x:c>
      <x:c r="F8" s="15" t="n">
        <x:v>0</x:v>
      </x:c>
      <x:c r="G8" s="15" t="n">
        <x:v>0</x:v>
      </x:c>
      <x:c r="H8" s="15" t="n">
        <x:v>1</x:v>
      </x:c>
      <x:c r="I8" s="27" t="n">
        <x:v>1</x:v>
      </x:c>
    </x:row>
    <x:row r="9" ht="41" customHeight="1">
      <x:c r="A9" s="12" t="str">
        <x:v>磁轨狙击枪</x:v>
      </x:c>
      <x:c r="B9" s="15" t="n">
        <x:v>100</x:v>
      </x:c>
      <x:c r="C9" s="15" t="n">
        <x:v>1</x:v>
      </x:c>
      <x:c r="D9" s="21" t="n">
        <x:v>1.05</x:v>
      </x:c>
      <x:c r="E9" s="15" t="n">
        <x:v>0</x:v>
      </x:c>
      <x:c r="F9" s="15" t="n">
        <x:v>0</x:v>
      </x:c>
      <x:c r="G9" s="15" t="n">
        <x:v>0</x:v>
      </x:c>
      <x:c r="H9" s="15" t="n">
        <x:v>1</x:v>
      </x:c>
      <x:c r="I9" s="27" t="n">
        <x:v>1</x:v>
      </x:c>
    </x:row>
    <x:row r="10" ht="41" customHeight="1">
      <x:c r="A10" s="11" t="str">
        <x:v>重型机枪</x:v>
      </x:c>
      <x:c r="B10" s="15" t="n">
        <x:v>11</x:v>
      </x:c>
      <x:c r="C10" s="15" t="n">
        <x:v>1</x:v>
      </x:c>
      <x:c r="D10" s="21" t="n">
        <x:v>0.085</x:v>
      </x:c>
      <x:c r="E10" s="15" t="n">
        <x:v>0</x:v>
      </x:c>
      <x:c r="F10" s="15" t="n">
        <x:v>0</x:v>
      </x:c>
      <x:c r="G10" s="15" t="n">
        <x:v>0</x:v>
      </x:c>
      <x:c r="H10" s="15" t="n">
        <x:v>1</x:v>
      </x:c>
      <x:c r="I10" s="27" t="n">
        <x:v>1</x:v>
      </x:c>
    </x:row>
    <x:row r="11" ht="41" customHeight="1">
      <x:c r="A11" s="12" t="str">
        <x:v>蜂群冲锋枪</x:v>
      </x:c>
      <x:c r="B11" s="15" t="n">
        <x:v>8</x:v>
      </x:c>
      <x:c r="C11" s="15" t="n">
        <x:v>1</x:v>
      </x:c>
      <x:c r="D11" s="21" t="n">
        <x:v>0.065</x:v>
      </x:c>
      <x:c r="E11" s="15" t="n">
        <x:v>0</x:v>
      </x:c>
      <x:c r="F11" s="15" t="n">
        <x:v>0</x:v>
      </x:c>
      <x:c r="G11" s="15" t="n">
        <x:v>0</x:v>
      </x:c>
      <x:c r="H11" s="15" t="n">
        <x:v>1</x:v>
      </x:c>
      <x:c r="I11" s="27" t="n">
        <x:v>1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8" customHeight="1">
      <x:c r="A14" s="14" t="str">
        <x:v>计算结果与口径</x:v>
      </x:c>
      <x:c r="B14" s="13"/>
      <x:c r="C14" s="13"/>
      <x:c r="D14" s="13"/>
      <x:c r="E14" s="13"/>
      <x:c r="F14" s="13"/>
      <x:c r="G14" s="13"/>
      <x:c r="H14" s="13"/>
      <x:c r="I14" s="13"/>
    </x:row>
    <x:row r="15" ht="32" customHeight="1">
      <x:c r="A15" s="9" t="str">
        <x:v>枪械</x:v>
      </x:c>
      <x:c r="B15" s="9" t="str">
        <x:v>升级后弹伤</x:v>
      </x:c>
      <x:c r="C15" s="9" t="str">
        <x:v>发射弹丸数</x:v>
      </x:c>
      <x:c r="D15" s="9" t="str">
        <x:v>射击间隔</x:v>
      </x:c>
      <x:c r="E15" s="9" t="str">
        <x:v>单次期望伤害</x:v>
      </x:c>
      <x:c r="F15" s="9" t="str">
        <x:v>期望 DPS</x:v>
      </x:c>
      <x:c r="G15" s="9" t="str">
        <x:v>目标生命</x:v>
      </x:c>
      <x:c r="H15" s="9" t="str">
        <x:v>预计命中轮数</x:v>
      </x:c>
      <x:c r="I15" s="9" t="str">
        <x:v>理想击杀秒</x:v>
      </x:c>
    </x:row>
    <x:row r="16" ht="41" customHeight="1">
      <x:c r="A16" s="12" t="str">
        <x:v>脉冲步枪</x:v>
      </x:c>
      <x:c r="B16" s="23" t="n">
        <x:f>IF(MOD(B7*(1+E7*0.25),1)=0.5,2*ROUND((B7*(1+E7*0.25))/2,0),ROUND(B7*(1+E7*0.25),0))</x:f>
        <x:v>16</x:v>
      </x:c>
      <x:c r="C16" s="23" t="n">
        <x:f>C7+G7*2</x:f>
        <x:v>1</x:v>
      </x:c>
      <x:c r="D16" s="33" t="n">
        <x:f>D7/(1+F7*0.18)</x:f>
        <x:v>0.145</x:v>
      </x:c>
      <x:c r="E16" s="23" t="n">
        <x:f>IF(MOD(B16*H7,1)=0.5,2*ROUND((B16*H7)/2,0),ROUND(B16*H7,0))*C16*I7</x:f>
        <x:v>16</x:v>
      </x:c>
      <x:c r="F16" s="23" t="n">
        <x:f>E16/D16</x:f>
        <x:v>110.3448275862069</x:v>
      </x:c>
      <x:c r="G16" s="22" t="n">
        <x:v>100</x:v>
      </x:c>
      <x:c r="H16" s="23" t="n">
        <x:f>IF(E16&gt;0,ROUNDUP(G16/E16,0),"无命中")</x:f>
        <x:v>7</x:v>
      </x:c>
      <x:c r="I16" s="23" t="n">
        <x:f>IF(ISNUMBER(H16),(H16-1)*D16,"无命中")</x:f>
        <x:v>0.8699999999999999</x:v>
      </x:c>
    </x:row>
    <x:row r="17" ht="41" customHeight="1">
      <x:c r="A17" s="11" t="str">
        <x:v>裂片霰弹</x:v>
      </x:c>
      <x:c r="B17" s="24" t="n">
        <x:f>IF(MOD(B8*(1+E8*0.25),1)=0.5,2*ROUND((B8*(1+E8*0.25))/2,0),ROUND(B8*(1+E8*0.25),0))</x:f>
        <x:v>13</x:v>
      </x:c>
      <x:c r="C17" s="24" t="n">
        <x:f>C8+G8*2</x:f>
        <x:v>7</x:v>
      </x:c>
      <x:c r="D17" s="34" t="n">
        <x:f>D8/(1+F8*0.18)</x:f>
        <x:v>0.65</x:v>
      </x:c>
      <x:c r="E17" s="24" t="n">
        <x:f>IF(MOD(B17*H8,1)=0.5,2*ROUND((B17*H8)/2,0),ROUND(B17*H8,0))*C17*I8</x:f>
        <x:v>91</x:v>
      </x:c>
      <x:c r="F17" s="24" t="n">
        <x:f>E17/D17</x:f>
        <x:v>140</x:v>
      </x:c>
      <x:c r="G17" s="22" t="n">
        <x:v>100</x:v>
      </x:c>
      <x:c r="H17" s="24" t="n">
        <x:f>IF(E17&gt;0,ROUNDUP(G17/E17,0),"无命中")</x:f>
        <x:v>2</x:v>
      </x:c>
      <x:c r="I17" s="24" t="n">
        <x:f>IF(ISNUMBER(H17),(H17-1)*D17,"无命中")</x:f>
        <x:v>0.65</x:v>
      </x:c>
    </x:row>
    <x:row r="18" ht="41" customHeight="1">
      <x:c r="A18" s="12" t="str">
        <x:v>磁轨狙击枪</x:v>
      </x:c>
      <x:c r="B18" s="23" t="n">
        <x:f>IF(MOD(B9*(1+E9*0.25),1)=0.5,2*ROUND((B9*(1+E9*0.25))/2,0),ROUND(B9*(1+E9*0.25),0))</x:f>
        <x:v>100</x:v>
      </x:c>
      <x:c r="C18" s="23" t="n">
        <x:f>C9+G9*2</x:f>
        <x:v>1</x:v>
      </x:c>
      <x:c r="D18" s="33" t="n">
        <x:f>D9/(1+F9*0.18)</x:f>
        <x:v>1.05</x:v>
      </x:c>
      <x:c r="E18" s="23" t="n">
        <x:f>IF(MOD(B18*H9,1)=0.5,2*ROUND((B18*H9)/2,0),ROUND(B18*H9,0))*C18*I9</x:f>
        <x:v>100</x:v>
      </x:c>
      <x:c r="F18" s="23" t="n">
        <x:f>E18/D18</x:f>
        <x:v>95.23809523809524</x:v>
      </x:c>
      <x:c r="G18" s="22" t="n">
        <x:v>100</x:v>
      </x:c>
      <x:c r="H18" s="23" t="n">
        <x:f>IF(E18&gt;0,ROUNDUP(G18/E18,0),"无命中")</x:f>
        <x:v>1</x:v>
      </x:c>
      <x:c r="I18" s="23" t="n">
        <x:f>IF(ISNUMBER(H18),(H18-1)*D18,"无命中")</x:f>
        <x:v>0</x:v>
      </x:c>
    </x:row>
    <x:row r="19" ht="41" customHeight="1">
      <x:c r="A19" s="11" t="str">
        <x:v>重型机枪</x:v>
      </x:c>
      <x:c r="B19" s="24" t="n">
        <x:f>IF(MOD(B10*(1+E10*0.25),1)=0.5,2*ROUND((B10*(1+E10*0.25))/2,0),ROUND(B10*(1+E10*0.25),0))</x:f>
        <x:v>11</x:v>
      </x:c>
      <x:c r="C19" s="24" t="n">
        <x:f>C10+G10*2</x:f>
        <x:v>1</x:v>
      </x:c>
      <x:c r="D19" s="34" t="n">
        <x:f>D10/(1+F10*0.18)</x:f>
        <x:v>0.085</x:v>
      </x:c>
      <x:c r="E19" s="24" t="n">
        <x:f>IF(MOD(B19*H10,1)=0.5,2*ROUND((B19*H10)/2,0),ROUND(B19*H10,0))*C19*I10</x:f>
        <x:v>11</x:v>
      </x:c>
      <x:c r="F19" s="24" t="n">
        <x:f>E19/D19</x:f>
        <x:v>129.41176470588235</x:v>
      </x:c>
      <x:c r="G19" s="22" t="n">
        <x:v>100</x:v>
      </x:c>
      <x:c r="H19" s="24" t="n">
        <x:f>IF(E19&gt;0,ROUNDUP(G19/E19,0),"无命中")</x:f>
        <x:v>10</x:v>
      </x:c>
      <x:c r="I19" s="24" t="n">
        <x:f>IF(ISNUMBER(H19),(H19-1)*D19,"无命中")</x:f>
        <x:v>0.765</x:v>
      </x:c>
    </x:row>
    <x:row r="20" ht="41" customHeight="1">
      <x:c r="A20" s="12" t="str">
        <x:v>蜂群冲锋枪</x:v>
      </x:c>
      <x:c r="B20" s="23" t="n">
        <x:f>IF(MOD(B11*(1+E11*0.25),1)=0.5,2*ROUND((B11*(1+E11*0.25))/2,0),ROUND(B11*(1+E11*0.25),0))</x:f>
        <x:v>8</x:v>
      </x:c>
      <x:c r="C20" s="23" t="n">
        <x:f>C11+G11*2</x:f>
        <x:v>1</x:v>
      </x:c>
      <x:c r="D20" s="33" t="n">
        <x:f>D11/(1+F11*0.18)</x:f>
        <x:v>0.065</x:v>
      </x:c>
      <x:c r="E20" s="23" t="n">
        <x:f>IF(MOD(B20*H11,1)=0.5,2*ROUND((B20*H11)/2,0),ROUND(B20*H11,0))*C20*I11</x:f>
        <x:v>8</x:v>
      </x:c>
      <x:c r="F20" s="23" t="n">
        <x:f>E20/D20</x:f>
        <x:v>123.07692307692307</x:v>
      </x:c>
      <x:c r="G20" s="22" t="n">
        <x:v>100</x:v>
      </x:c>
      <x:c r="H20" s="23" t="n">
        <x:f>IF(E20&gt;0,ROUNDUP(G20/E20,0),"无命中")</x:f>
        <x:v>13</x:v>
      </x:c>
      <x:c r="I20" s="23" t="n">
        <x:f>IF(ISNUMBER(H20),(H20-1)*D20,"无命中")</x:f>
        <x:v>0.78</x:v>
      </x:c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19" t="str">
        <x:v>基础试算不包含霰弹衰减、穿透多目标、射击帧量化、机枪停火、技能空窗与移动损失。命中率是假设，预计轮数是期望伤害模型，不能当成实战确定命中次数。第一轮可即时发射，因此理想击杀时间为（轮数−1）×间隔。</x:v>
      </x:c>
      <x:c r="B23" s="19"/>
      <x:c r="C23" s="19"/>
      <x:c r="D23" s="19"/>
      <x:c r="E23" s="19"/>
      <x:c r="F23" s="19"/>
      <x:c r="G23" s="19"/>
      <x:c r="H23" s="19"/>
      <x:c r="I23" s="19"/>
    </x:row>
    <x:row r="24" ht="24" customHeight="1">
      <x:c r="A24" s="19"/>
      <x:c r="B24" s="19"/>
      <x:c r="C24" s="19"/>
      <x:c r="D24" s="19"/>
      <x:c r="E24" s="19"/>
      <x:c r="F24" s="19"/>
      <x:c r="G24" s="19"/>
      <x:c r="H24" s="19"/>
      <x:c r="I24" s="19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8" customHeight="1">
      <x:c r="A27" s="14" t="str">
        <x:v>霰弹距离衰减案例</x:v>
      </x:c>
      <x:c r="B27" s="13"/>
      <x:c r="C27" s="13"/>
      <x:c r="D27" s="13"/>
      <x:c r="E27" s="13"/>
      <x:c r="F27" s="13"/>
      <x:c r="G27" s="13"/>
      <x:c r="H27" s="13"/>
      <x:c r="I27" s="13"/>
    </x:row>
    <x:row r="28" ht="32" customHeight="1">
      <x:c r="A28" s="9" t="str">
        <x:v>行进距离</x:v>
      </x:c>
      <x:c r="B28" s="9" t="str">
        <x:v>每弹基础伤害</x:v>
      </x:c>
      <x:c r="C28" s="9" t="str">
        <x:v>衰减系数</x:v>
      </x:c>
      <x:c r="D28" s="9" t="str">
        <x:v>衰减后取整</x:v>
      </x:c>
      <x:c r="E28" s="9" t="str">
        <x:v>扫描倍率</x:v>
      </x:c>
      <x:c r="F28" s="9" t="str">
        <x:v>扫描后每弹</x:v>
      </x:c>
      <x:c r="G28" s="9" t="str">
        <x:v>全中弹丸数</x:v>
      </x:c>
      <x:c r="H28" s="9" t="str">
        <x:v>全中伤害</x:v>
      </x:c>
      <x:c r="I28" s="9" t="str">
        <x:v>用途</x:v>
      </x:c>
    </x:row>
    <x:row r="29" ht="38" customHeight="1">
      <x:c r="A29" s="12" t="n">
        <x:v>0</x:v>
      </x:c>
      <x:c r="B29" s="12" t="n">
        <x:v>13</x:v>
      </x:c>
      <x:c r="C29" s="12" t="n">
        <x:f>1-0.75*MIN(1,A29/12)</x:f>
        <x:v>1</x:v>
      </x:c>
      <x:c r="D29" s="12" t="n">
        <x:f>IF(MOD(B29*C29,1)=0.5,2*ROUND((B29*C29)/2,0),ROUND(B29*C29,0))</x:f>
        <x:v>13</x:v>
      </x:c>
      <x:c r="E29" s="12" t="n">
        <x:v>1.5</x:v>
      </x:c>
      <x:c r="F29" s="12" t="n">
        <x:f>IF(MOD(D29*E29,1)=0.5,2*ROUND((D29*E29)/2,0),ROUND(D29*E29,0))</x:f>
        <x:v>20</x:v>
      </x:c>
      <x:c r="G29" s="12" t="n">
        <x:v>7</x:v>
      </x:c>
      <x:c r="H29" s="12" t="n">
        <x:f>F29*G29</x:f>
        <x:v>140</x:v>
      </x:c>
      <x:c r="I29" s="12" t="str">
        <x:v>先衰减取整，再扫描取整</x:v>
      </x:c>
    </x:row>
    <x:row r="30" ht="38" customHeight="1">
      <x:c r="A30" s="11" t="n">
        <x:v>6</x:v>
      </x:c>
      <x:c r="B30" s="11" t="n">
        <x:v>13</x:v>
      </x:c>
      <x:c r="C30" s="11" t="n">
        <x:f>1-0.75*MIN(1,A30/12)</x:f>
        <x:v>0.625</x:v>
      </x:c>
      <x:c r="D30" s="11" t="n">
        <x:f>IF(MOD(B30*C30,1)=0.5,2*ROUND((B30*C30)/2,0),ROUND(B30*C30,0))</x:f>
        <x:v>8</x:v>
      </x:c>
      <x:c r="E30" s="11" t="n">
        <x:v>1.5</x:v>
      </x:c>
      <x:c r="F30" s="11" t="n">
        <x:f>IF(MOD(D30*E30,1)=0.5,2*ROUND((D30*E30)/2,0),ROUND(D30*E30,0))</x:f>
        <x:v>12</x:v>
      </x:c>
      <x:c r="G30" s="11" t="n">
        <x:v>7</x:v>
      </x:c>
      <x:c r="H30" s="11" t="n">
        <x:f>F30*G30</x:f>
        <x:v>84</x:v>
      </x:c>
      <x:c r="I30" s="11" t="str">
        <x:v>先衰减取整，再扫描取整</x:v>
      </x:c>
    </x:row>
    <x:row r="31" ht="38" customHeight="1">
      <x:c r="A31" s="12" t="n">
        <x:v>12</x:v>
      </x:c>
      <x:c r="B31" s="12" t="n">
        <x:v>13</x:v>
      </x:c>
      <x:c r="C31" s="12" t="n">
        <x:f>1-0.75*MIN(1,A31/12)</x:f>
        <x:v>0.25</x:v>
      </x:c>
      <x:c r="D31" s="12" t="n">
        <x:f>IF(MOD(B31*C31,1)=0.5,2*ROUND((B31*C31)/2,0),ROUND(B31*C31,0))</x:f>
        <x:v>3</x:v>
      </x:c>
      <x:c r="E31" s="12" t="n">
        <x:v>1.5</x:v>
      </x:c>
      <x:c r="F31" s="12" t="n">
        <x:f>IF(MOD(D31*E31,1)=0.5,2*ROUND((D31*E31)/2,0),ROUND(D31*E31,0))</x:f>
        <x:v>4</x:v>
      </x:c>
      <x:c r="G31" s="12" t="n">
        <x:v>7</x:v>
      </x:c>
      <x:c r="H31" s="12" t="n">
        <x:f>F31*G31</x:f>
        <x:v>28</x:v>
      </x:c>
      <x:c r="I31" s="12" t="str">
        <x:v>先衰减取整，再扫描取整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19" t="str">
        <x:v>取整公式模拟 Unity 的半值取偶：例如4.5取4，16.5取16。浮点误差与碰撞时序仍需运行断言复核。12单位的霰弹案例是衰减公式边界检查，寿命会影响实际可达距离。依据P04。</x:v>
      </x:c>
      <x:c r="B33" s="19"/>
      <x:c r="C33" s="19"/>
      <x:c r="D33" s="19"/>
      <x:c r="E33" s="19"/>
      <x:c r="F33" s="19"/>
      <x:c r="G33" s="19"/>
      <x:c r="H33" s="19"/>
      <x:c r="I33" s="19"/>
    </x:row>
    <x:row r="34" ht="24" customHeight="1">
      <x:c r="A34" s="19"/>
      <x:c r="B34" s="19"/>
      <x:c r="C34" s="19"/>
      <x:c r="D34" s="19"/>
      <x:c r="E34" s="19"/>
      <x:c r="F34" s="19"/>
      <x:c r="G34" s="19"/>
      <x:c r="H34" s="19"/>
      <x:c r="I34" s="19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8" customHeight="1">
      <x:c r="A37" s="14" t="str">
        <x:v>需要通过实战数据回答的问题</x:v>
      </x:c>
      <x:c r="B37" s="13"/>
      <x:c r="C37" s="13"/>
      <x:c r="D37" s="13"/>
      <x:c r="E37" s="13"/>
      <x:c r="F37" s="13"/>
      <x:c r="G37" s="13"/>
      <x:c r="H37" s="13"/>
      <x:c r="I37" s="13"/>
    </x:row>
    <x:row r="38" ht="32" customHeight="1">
      <x:c r="A38" s="9" t="str">
        <x:v>问题</x:v>
      </x:c>
      <x:c r="B38" s="9"/>
      <x:c r="C38" s="9" t="str">
        <x:v>对照设置</x:v>
      </x:c>
      <x:c r="D38" s="9"/>
      <x:c r="E38" s="9" t="str">
        <x:v>主要指标</x:v>
      </x:c>
      <x:c r="F38" s="9"/>
      <x:c r="G38" s="9"/>
      <x:c r="H38" s="9" t="str">
        <x:v>触发复评条件</x:v>
      </x:c>
      <x:c r="I38" s="9"/>
    </x:row>
    <x:row r="39" ht="66" customHeight="1">
      <x:c r="A39" s="12" t="str">
        <x:v>BAL-01 侦察能否长期压过其他职业</x:v>
      </x:c>
      <x:c r="B39" s="12"/>
      <x:c r="C39" s="12" t="str">
        <x:v>同玩家、同难度和枪械，对比四职业，保留扫描 6 秒基线。</x:v>
      </x:c>
      <x:c r="D39" s="12"/>
      <x:c r="E39" s="12" t="str">
        <x:v>Boss 击杀时间、受伤、目标存活与技能有效命中。</x:v>
      </x:c>
      <x:c r="F39" s="12"/>
      <x:c r="G39" s="12"/>
      <x:c r="H39" s="12" t="str">
        <x:v>胜率和耗时明显偏离，先查测试玩家与命中差异，再调整参数。</x:v>
      </x:c>
      <x:c r="I39" s="12"/>
    </x:row>
    <x:row r="40" ht="66" customHeight="1">
      <x:c r="A40" s="11" t="str">
        <x:v>BAL-02 机枪双枪是否过热惩罚过重</x:v>
      </x:c>
      <x:c r="B40" s="11"/>
      <x:c r="C40" s="11" t="str">
        <x:v>同靶生命，分别单枪、双枪和射速强化。</x:v>
      </x:c>
      <x:c r="D40" s="11"/>
      <x:c r="E40" s="11" t="str">
        <x:v>有效射击时间、停火时间与完整击杀用时。</x:v>
      </x:c>
      <x:c r="F40" s="11"/>
      <x:c r="G40" s="11"/>
      <x:c r="H40" s="11" t="str">
        <x:v>双枪技能开启后总耗时反而更差且无策略收益时复评。</x:v>
      </x:c>
      <x:c r="I40" s="11"/>
    </x:row>
    <x:row r="41" ht="66" customHeight="1">
      <x:c r="A41" s="12" t="str">
        <x:v>BAL-03 分裂对狙击/步枪是否过强</x:v>
      </x:c>
      <x:c r="B41" s="12"/>
      <x:c r="C41" s="12" t="str">
        <x:v>固定距离、固定目标排布，逐级加分裂。</x:v>
      </x:c>
      <x:c r="D41" s="12"/>
      <x:c r="E41" s="12" t="str">
        <x:v>每轮伤害、多目标击破和弹丸可读性。</x:v>
      </x:c>
      <x:c r="F41" s="12"/>
      <x:c r="G41" s="12"/>
      <x:c r="H41" s="12" t="str">
        <x:v>多数场景形成无代价最优选择时调整升级或弹道。</x:v>
      </x:c>
      <x:c r="I41" s="1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</x:sheetData>
  <x:mergeCells>
    <x:mergeCell ref="A23:I24"/>
    <x:mergeCell ref="A33:I34"/>
    <x:mergeCell ref="A38:B38"/>
    <x:mergeCell ref="C38:D38"/>
    <x:mergeCell ref="E38:G38"/>
    <x:mergeCell ref="H38:I38"/>
    <x:mergeCell ref="A39:B39"/>
    <x:mergeCell ref="C39:D39"/>
    <x:mergeCell ref="E39:G39"/>
    <x:mergeCell ref="H39:I39"/>
    <x:mergeCell ref="A40:B40"/>
    <x:mergeCell ref="C40:D40"/>
    <x:mergeCell ref="E40:G40"/>
    <x:mergeCell ref="H40:I40"/>
    <x:mergeCell ref="A41:B41"/>
    <x:mergeCell ref="C41:D41"/>
    <x:mergeCell ref="E41:G41"/>
    <x:mergeCell ref="H41:I41"/>
  </x:mergeCells>
  <x:dataValidations count="1">
    <x:dataValidation type="decimal" operator="between" sqref="I7:I11">
      <x:formula1>0</x:formula1>
      <x:formula2>1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880000114440918" hidden="0" customWidth="1"/>
    <x:col min="2" max="2" width="17.5" hidden="0" customWidth="1"/>
    <x:col min="3" max="3" width="9.380000114440918" hidden="0" customWidth="1"/>
    <x:col min="4" max="4" width="9.380000114440918" hidden="0" customWidth="1"/>
    <x:col min="5" max="5" width="37.5" hidden="0" customWidth="1"/>
    <x:col min="6" max="6" width="27.5" hidden="0" customWidth="1"/>
    <x:col min="7" max="7" width="10" hidden="0" customWidth="1"/>
    <x:col min="8" max="8" width="12.5" hidden="0" customWidth="1"/>
    <x:col min="9" max="9" width="37.5" hidden="0" customWidth="1"/>
    <x:col min="10" max="10" width="2.75" hidden="0" customWidth="1"/>
    <x:col min="11" max="11" width="13.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八关任务与路线设计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5" t="str">
        <x:v>地图尺寸为 Unity 世界单位；配额与 Boss 生命是配置基值，实际生命另乘难度倍率。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9" t="str">
        <x:v>序号</x:v>
      </x:c>
      <x:c r="B6" s="9" t="str">
        <x:v>关卡</x:v>
      </x:c>
      <x:c r="C6" s="9" t="str">
        <x:v>宽</x:v>
      </x:c>
      <x:c r="D6" s="9" t="str">
        <x:v>高</x:v>
      </x:c>
      <x:c r="E6" s="9" t="str">
        <x:v>主要任务与设计作用</x:v>
      </x:c>
      <x:c r="F6" s="9" t="str">
        <x:v>出口与通关</x:v>
      </x:c>
      <x:c r="G6" s="9" t="str">
        <x:v>敌军配额</x:v>
      </x:c>
      <x:c r="H6" s="9" t="str">
        <x:v>Boss 生命</x:v>
      </x:c>
      <x:c r="I6" s="9" t="str">
        <x:v>验收重点</x:v>
      </x:c>
      <x:c r="J6" s="9" t="str"/>
      <x:c r="K6" s="9" t="str">
        <x:v>依据</x:v>
      </x:c>
    </x:row>
    <x:row r="7" ht="73" customHeight="1">
      <x:c r="A7" s="12" t="n">
        <x:v>1</x:v>
      </x:c>
      <x:c r="B7" s="12" t="str">
        <x:v>霓雨下城</x:v>
      </x:c>
      <x:c r="C7" s="12" t="n">
        <x:v>44</x:v>
      </x:c>
      <x:c r="D7" s="12" t="n">
        <x:v>12</x:v>
      </x:c>
      <x:c r="E7" s="12" t="str">
        <x:v>横向清敌，教学移动、射击与冲刺</x:v>
      </x:c>
      <x:c r="F7" s="12" t="str">
        <x:v>清敌后前往右侧接驳电梯</x:v>
      </x:c>
      <x:c r="G7" s="12" t="n">
        <x:v>8</x:v>
      </x:c>
      <x:c r="H7" s="12"/>
      <x:c r="I7" s="12" t="str">
        <x:v>清完配额前锁门；完成后可进入补给。</x:v>
      </x:c>
      <x:c r="J7" s="12" t="str"/>
      <x:c r="K7" s="12" t="str">
        <x:v>S6-1</x:v>
      </x:c>
    </x:row>
    <x:row r="8" ht="73" customHeight="1">
      <x:c r="A8" s="11" t="n">
        <x:v>2</x:v>
      </x:c>
      <x:c r="B8" s="11" t="str">
        <x:v>熔炉生产线</x:v>
      </x:c>
      <x:c r="C8" s="11" t="n">
        <x:v>44</x:v>
      </x:c>
      <x:c r="D8" s="11" t="n">
        <x:v>12</x:v>
      </x:c>
      <x:c r="E8" s="11" t="str">
        <x:v>平台交火，巩固跳跃与站位</x:v>
      </x:c>
      <x:c r="F8" s="11" t="str">
        <x:v>清敌后从右侧出口离开</x:v>
      </x:c>
      <x:c r="G8" s="11" t="n">
        <x:v>10</x:v>
      </x:c>
      <x:c r="H8" s="11"/>
      <x:c r="I8" s="11" t="str">
        <x:v>任一枪械可完成，平台与弹幕可辨。</x:v>
      </x:c>
      <x:c r="J8" s="11" t="str"/>
      <x:c r="K8" s="11" t="str">
        <x:v>S6-2</x:v>
      </x:c>
    </x:row>
    <x:row r="9" ht="73" customHeight="1">
      <x:c r="A9" s="12" t="n">
        <x:v>3</x:v>
      </x:c>
      <x:c r="B9" s="12" t="str">
        <x:v>核心守卫</x:v>
      </x:c>
      <x:c r="C9" s="12" t="n">
        <x:v>44</x:v>
      </x:c>
      <x:c r="D9" s="12" t="n">
        <x:v>12</x:v>
      </x:c>
      <x:c r="E9" s="12" t="str">
        <x:v>击败核心守卫，体验半血狂暴</x:v>
      </x:c>
      <x:c r="F9" s="12" t="str">
        <x:v>击败 Boss 后到右侧出口</x:v>
      </x:c>
      <x:c r="G9" s="12" t="n">
        <x:v>1</x:v>
      </x:c>
      <x:c r="H9" s="12" t="n">
        <x:v>1250</x:v>
      </x:c>
      <x:c r="I9" s="12" t="str">
        <x:v>守卫半血后从五发变九发，仍有可规避间隙。</x:v>
      </x:c>
      <x:c r="J9" s="12" t="str"/>
      <x:c r="K9" s="12" t="str">
        <x:v>S6-3</x:v>
      </x:c>
    </x:row>
    <x:row r="10" ht="73" customHeight="1">
      <x:c r="A10" s="11" t="n">
        <x:v>4</x:v>
      </x:c>
      <x:c r="B10" s="11" t="str">
        <x:v>天线高塔</x:v>
      </x:c>
      <x:c r="C10" s="11" t="n">
        <x:v>24</x:v>
      </x:c>
      <x:c r="D10" s="11" t="n">
        <x:v>32</x:v>
      </x:c>
      <x:c r="E10" s="11" t="str">
        <x:v>沿高塔向上攀登，收集天线钥匙</x:v>
      </x:c>
      <x:c r="F10" s="11" t="str">
        <x:v>取得钥匙后进入塔顶出口</x:v>
      </x:c>
      <x:c r="G10" s="11" t="n">
        <x:v>14</x:v>
      </x:c>
      <x:c r="H10" s="11"/>
      <x:c r="I10" s="11" t="str">
        <x:v>无需清敌；二段跳可达相邻平台，HUD 指向上方。</x:v>
      </x:c>
      <x:c r="J10" s="11" t="str"/>
      <x:c r="K10" s="11" t="str">
        <x:v>S6-4</x:v>
      </x:c>
    </x:row>
    <x:row r="11" ht="73" customHeight="1">
      <x:c r="A11" s="12" t="n">
        <x:v>5</x:v>
      </x:c>
      <x:c r="B11" s="12" t="str">
        <x:v>数据回收</x:v>
      </x:c>
      <x:c r="C11" s="12" t="n">
        <x:v>44</x:v>
      </x:c>
      <x:c r="D11" s="12" t="n">
        <x:v>12</x:v>
      </x:c>
      <x:c r="E11" s="12" t="str">
        <x:v>进入机房收集三份数据，再回程</x:v>
      </x:c>
      <x:c r="F11" s="12" t="str">
        <x:v>数据齐全后回左侧起点出口</x:v>
      </x:c>
      <x:c r="G11" s="12" t="n">
        <x:v>16</x:v>
      </x:c>
      <x:c r="H11" s="12"/>
      <x:c r="I11" s="12" t="str">
        <x:v>未收齐不放行；收齐后存活敌人不阻止开门。</x:v>
      </x:c>
      <x:c r="J11" s="12" t="str"/>
      <x:c r="K11" s="12" t="str">
        <x:v>S6-5</x:v>
      </x:c>
    </x:row>
    <x:row r="12" ht="73" customHeight="1">
      <x:c r="A12" s="11" t="n">
        <x:v>6</x:v>
      </x:c>
      <x:c r="B12" s="11" t="str">
        <x:v>配电迷阵</x:v>
      </x:c>
      <x:c r="C12" s="11" t="n">
        <x:v>44</x:v>
      </x:c>
      <x:c r="D12" s="11" t="n">
        <x:v>12</x:v>
      </x:c>
      <x:c r="E12" s="11" t="str">
        <x:v>接通三个机关，顺序 II、I、III</x:v>
      </x:c>
      <x:c r="F12" s="11" t="str">
        <x:v>正确接通后进入地图中部出口</x:v>
      </x:c>
      <x:c r="G12" s="11" t="n">
        <x:v>18</x:v>
      </x:c>
      <x:c r="H12" s="11"/>
      <x:c r="I12" s="11" t="str">
        <x:v>靠近按 E；输错重置，反馈与接通进度一致。</x:v>
      </x:c>
      <x:c r="J12" s="11" t="str"/>
      <x:c r="K12" s="11" t="str">
        <x:v>S6-6</x:v>
      </x:c>
    </x:row>
    <x:row r="13" ht="73" customHeight="1">
      <x:c r="A13" s="12" t="n">
        <x:v>7</x:v>
      </x:c>
      <x:c r="B13" s="12" t="str">
        <x:v>地下档案</x:v>
      </x:c>
      <x:c r="C13" s="12" t="n">
        <x:v>26</x:v>
      </x:c>
      <x:c r="D13" s="12" t="n">
        <x:v>30</x:v>
      </x:c>
      <x:c r="E13" s="12" t="str">
        <x:v>从高层下行，收集两份封存档案</x:v>
      </x:c>
      <x:c r="F13" s="12" t="str">
        <x:v>收齐后前往底部左侧出口</x:v>
      </x:c>
      <x:c r="G13" s="12" t="n">
        <x:v>20</x:v>
      </x:c>
      <x:c r="H13" s="12"/>
      <x:c r="I13" s="12" t="str">
        <x:v>S 可穿过平台；出口在下方且无需清敌。</x:v>
      </x:c>
      <x:c r="J13" s="12" t="str"/>
      <x:c r="K13" s="12" t="str">
        <x:v>S6-7</x:v>
      </x:c>
    </x:row>
    <x:row r="14" ht="73" customHeight="1">
      <x:c r="A14" s="11" t="n">
        <x:v>8</x:v>
      </x:c>
      <x:c r="B14" s="11" t="str">
        <x:v>中枢停机</x:v>
      </x:c>
      <x:c r="C14" s="11" t="n">
        <x:v>44</x:v>
      </x:c>
      <x:c r="D14" s="11" t="n">
        <x:v>12</x:v>
      </x:c>
      <x:c r="E14" s="11" t="str">
        <x:v>击败强化守卫，并按提示关闭反应堆</x:v>
      </x:c>
      <x:c r="F14" s="11" t="str">
        <x:v>两项完成即自动结算，无需进门</x:v>
      </x:c>
      <x:c r="G14" s="11" t="n">
        <x:v>1</x:v>
      </x:c>
      <x:c r="H14" s="11" t="n">
        <x:v>2200</x:v>
      </x:c>
      <x:c r="I14" s="11" t="str">
        <x:v>两种任务顺序均可胜利，失败或暂停不能误结算。</x:v>
      </x:c>
      <x:c r="J14" s="11" t="str"/>
      <x:c r="K14" s="11" t="str">
        <x:v>S6-8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8" customHeight="1">
      <x:c r="A17" s="14" t="str">
        <x:v>任务物与机关配置</x:v>
      </x:c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 ht="32" customHeight="1">
      <x:c r="A18" s="9" t="str">
        <x:v>关卡</x:v>
      </x:c>
      <x:c r="B18" s="9"/>
      <x:c r="C18" s="9" t="str">
        <x:v>任务物数量</x:v>
      </x:c>
      <x:c r="D18" s="9" t="str">
        <x:v>机关数量</x:v>
      </x:c>
      <x:c r="E18" s="9" t="str">
        <x:v>任务提示原文</x:v>
      </x:c>
      <x:c r="F18" s="9"/>
      <x:c r="G18" s="9"/>
      <x:c r="H18" s="9"/>
      <x:c r="I18" s="9"/>
      <x:c r="J18" s="2"/>
      <x:c r="K18" s="2"/>
    </x:row>
    <x:row r="19" ht="38" customHeight="1">
      <x:c r="A19" s="12" t="str">
        <x:v>霓雨下城</x:v>
      </x:c>
      <x:c r="B19" s="12"/>
      <x:c r="C19" s="12" t="n">
        <x:v>0</x:v>
      </x:c>
      <x:c r="D19" s="12" t="n">
        <x:v>0</x:v>
      </x:c>
      <x:c r="E19" s="12" t="str">
        <x:v>清除敌军后进入传送门</x:v>
      </x:c>
      <x:c r="F19" s="12"/>
      <x:c r="G19" s="12"/>
      <x:c r="H19" s="12"/>
      <x:c r="I19" s="12"/>
      <x:c r="J19" s="2"/>
      <x:c r="K19" s="2"/>
    </x:row>
    <x:row r="20" ht="38" customHeight="1">
      <x:c r="A20" s="11" t="str">
        <x:v>熔炉生产线</x:v>
      </x:c>
      <x:c r="B20" s="11"/>
      <x:c r="C20" s="11" t="n">
        <x:v>0</x:v>
      </x:c>
      <x:c r="D20" s="11" t="n">
        <x:v>0</x:v>
      </x:c>
      <x:c r="E20" s="11" t="str">
        <x:v>清除敌军后进入传送门</x:v>
      </x:c>
      <x:c r="F20" s="11"/>
      <x:c r="G20" s="11"/>
      <x:c r="H20" s="11"/>
      <x:c r="I20" s="11"/>
      <x:c r="J20" s="2"/>
      <x:c r="K20" s="2"/>
    </x:row>
    <x:row r="21" ht="38" customHeight="1">
      <x:c r="A21" s="12" t="str">
        <x:v>核心守卫</x:v>
      </x:c>
      <x:c r="B21" s="12"/>
      <x:c r="C21" s="12" t="n">
        <x:v>0</x:v>
      </x:c>
      <x:c r="D21" s="12" t="n">
        <x:v>0</x:v>
      </x:c>
      <x:c r="E21" s="12" t="str">
        <x:v>清除敌军后进入传送门</x:v>
      </x:c>
      <x:c r="F21" s="12"/>
      <x:c r="G21" s="12"/>
      <x:c r="H21" s="12"/>
      <x:c r="I21" s="12"/>
      <x:c r="J21" s="2"/>
      <x:c r="K21" s="2"/>
    </x:row>
    <x:row r="22" ht="38" customHeight="1">
      <x:c r="A22" s="11" t="str">
        <x:v>天线高塔</x:v>
      </x:c>
      <x:c r="B22" s="11"/>
      <x:c r="C22" s="11" t="n">
        <x:v>1</x:v>
      </x:c>
      <x:c r="D22" s="11" t="n">
        <x:v>0</x:v>
      </x:c>
      <x:c r="E22" s="11" t="str">
        <x:v>攀登高塔，领取天线钥匙后到达顶部</x:v>
      </x:c>
      <x:c r="F22" s="11"/>
      <x:c r="G22" s="11"/>
      <x:c r="H22" s="11"/>
      <x:c r="I22" s="11"/>
      <x:c r="J22" s="2"/>
      <x:c r="K22" s="2"/>
    </x:row>
    <x:row r="23" ht="38" customHeight="1">
      <x:c r="A23" s="12" t="str">
        <x:v>数据回收</x:v>
      </x:c>
      <x:c r="B23" s="12"/>
      <x:c r="C23" s="12" t="n">
        <x:v>3</x:v>
      </x:c>
      <x:c r="D23" s="12" t="n">
        <x:v>0</x:v>
      </x:c>
      <x:c r="E23" s="12" t="str">
        <x:v>取得任务数据，再返回左侧传送门</x:v>
      </x:c>
      <x:c r="F23" s="12"/>
      <x:c r="G23" s="12"/>
      <x:c r="H23" s="12"/>
      <x:c r="I23" s="12"/>
      <x:c r="J23" s="2"/>
      <x:c r="K23" s="2"/>
    </x:row>
    <x:row r="24" ht="38" customHeight="1">
      <x:c r="A24" s="11" t="str">
        <x:v>配电迷阵</x:v>
      </x:c>
      <x:c r="B24" s="11"/>
      <x:c r="C24" s="11" t="n">
        <x:v>0</x:v>
      </x:c>
      <x:c r="D24" s="11" t="n">
        <x:v>3</x:v>
      </x:c>
      <x:c r="E24" s="11" t="str">
        <x:v>按提示顺序接通配电（靠近按E，错误会重置）</x:v>
      </x:c>
      <x:c r="F24" s="11"/>
      <x:c r="G24" s="11"/>
      <x:c r="H24" s="11"/>
      <x:c r="I24" s="11"/>
      <x:c r="J24" s="2"/>
      <x:c r="K24" s="2"/>
    </x:row>
    <x:row r="25" ht="38" customHeight="1">
      <x:c r="A25" s="12" t="str">
        <x:v>地下档案</x:v>
      </x:c>
      <x:c r="B25" s="12"/>
      <x:c r="C25" s="12" t="n">
        <x:v>2</x:v>
      </x:c>
      <x:c r="D25" s="12" t="n">
        <x:v>0</x:v>
      </x:c>
      <x:c r="E25" s="12" t="str">
        <x:v>下行收集档案，进入底层左侧传送门（S穿过平台）</x:v>
      </x:c>
      <x:c r="F25" s="12"/>
      <x:c r="G25" s="12"/>
      <x:c r="H25" s="12"/>
      <x:c r="I25" s="12"/>
      <x:c r="J25" s="2"/>
      <x:c r="K25" s="2"/>
    </x:row>
    <x:row r="26" ht="38" customHeight="1">
      <x:c r="A26" s="11" t="str">
        <x:v>中枢停机</x:v>
      </x:c>
      <x:c r="B26" s="11"/>
      <x:c r="C26" s="11" t="n">
        <x:v>0</x:v>
      </x:c>
      <x:c r="D26" s="11" t="n">
        <x:v>3</x:v>
      </x:c>
      <x:c r="E26" s="11" t="str">
        <x:v>击败守卫＋按提示顺序关闭反应堆，即可通关（靠近按E）</x:v>
      </x:c>
      <x:c r="F26" s="11"/>
      <x:c r="G26" s="11"/>
      <x:c r="H26" s="11"/>
      <x:c r="I26" s="11"/>
      <x:c r="J26" s="2"/>
      <x:c r="K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19" t="str">
        <x:v>配额不是所有关卡的通关要求。收集与机关关以任务目标判断；第八关同时判断守卫击破与机关完成。首领生命和配额从实际 Prefab 提取，不代表人工配置的敌人会全部同时出现。</x:v>
      </x:c>
      <x:c r="B29" s="19"/>
      <x:c r="C29" s="19"/>
      <x:c r="D29" s="19"/>
      <x:c r="E29" s="19"/>
      <x:c r="F29" s="19"/>
      <x:c r="G29" s="19"/>
      <x:c r="H29" s="19"/>
      <x:c r="I29" s="19"/>
      <x:c r="J29" s="2"/>
      <x:c r="K29" s="2"/>
    </x:row>
    <x:row r="30" ht="24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2"/>
      <x:c r="K30" s="2"/>
    </x:row>
  </x:sheetData>
  <x:mergeCells>
    <x:mergeCell ref="A18:B18"/>
    <x:mergeCell ref="E18:I18"/>
    <x:mergeCell ref="A19:B19"/>
    <x:mergeCell ref="E19:I19"/>
    <x:mergeCell ref="A20:B20"/>
    <x:mergeCell ref="E20:I20"/>
    <x:mergeCell ref="A21:B21"/>
    <x:mergeCell ref="E21:I21"/>
    <x:mergeCell ref="A22:B22"/>
    <x:mergeCell ref="E22:I22"/>
    <x:mergeCell ref="A23:B23"/>
    <x:mergeCell ref="E23:I23"/>
    <x:mergeCell ref="A24:B24"/>
    <x:mergeCell ref="E24:I24"/>
    <x:mergeCell ref="A25:B25"/>
    <x:mergeCell ref="E25:I25"/>
    <x:mergeCell ref="A26:B26"/>
    <x:mergeCell ref="E26:I26"/>
    <x:mergeCell ref="A29:I3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630000114440918" hidden="0" customWidth="1"/>
    <x:col min="2" max="2" width="15.630000114440918" hidden="0" customWidth="1"/>
    <x:col min="3" max="3" width="15" hidden="0" customWidth="1"/>
    <x:col min="4" max="4" width="31.25" hidden="0" customWidth="1"/>
    <x:col min="5" max="5" width="40" hidden="0" customWidth="1"/>
    <x:col min="6" max="6" width="41.25" hidden="0" customWidth="1"/>
    <x:col min="7" max="7" width="20" hidden="0" customWidth="1"/>
    <x:col min="8" max="8" width="11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八关分段脚本与落点依据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坐标来自实际 Prefab 的局部位置（根对象原点）。分段体验、预警、教学和叙事为待制作方案。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9" t="str">
        <x:v>段落 ID</x:v>
      </x:c>
      <x:c r="B6" s="9" t="str">
        <x:v>关卡</x:v>
      </x:c>
      <x:c r="C6" s="9" t="str">
        <x:v>节拍</x:v>
      </x:c>
      <x:c r="D6" s="9" t="str">
        <x:v>玩家行动</x:v>
      </x:c>
      <x:c r="E6" s="9" t="str">
        <x:v>布置与反馈要求</x:v>
      </x:c>
      <x:c r="F6" s="9" t="str">
        <x:v>实际位置或制作边界</x:v>
      </x:c>
      <x:c r="G6" s="9" t="str">
        <x:v>状态</x:v>
      </x:c>
      <x:c r="H6" s="9" t="str">
        <x:v>依据</x:v>
      </x:c>
    </x:row>
    <x:row r="7" ht="74" customHeight="1">
      <x:c r="A7" s="12" t="str">
        <x:v>L1-1</x:v>
      </x:c>
      <x:c r="B7" s="12" t="str">
        <x:v>霓雨下城</x:v>
      </x:c>
      <x:c r="C7" s="12" t="str">
        <x:v>入口教学</x:v>
      </x:c>
      <x:c r="D7" s="12" t="str">
        <x:v>读任务，尝试移动与鼠标瞄准</x:v>
      </x:c>
      <x:c r="E7" s="12" t="str">
        <x:v>入口不立即叠加多方向火力，建议保留观察区。</x:v>
      </x:c>
      <x:c r="F7" s="12" t="str">
        <x:v>出生 玩家出生点(4, 1.4)；出口 关卡出口(42, 1.4)</x:v>
      </x:c>
      <x:c r="G7" s="12" t="str">
        <x:v>现有任务 + 体验打磨方案</x:v>
      </x:c>
      <x:c r="H7" s="12" t="str">
        <x:v>S6-1</x:v>
      </x:c>
    </x:row>
    <x:row r="8" ht="74" customHeight="1">
      <x:c r="A8" s="11" t="str">
        <x:v>L1-2</x:v>
      </x:c>
      <x:c r="B8" s="11" t="str">
        <x:v>霓雨下城</x:v>
      </x:c>
      <x:c r="C8" s="11" t="str">
        <x:v>首轮战斗</x:v>
      </x:c>
      <x:c r="D8" s="11" t="str">
        <x:v>用基础射击处理单个威胁</x:v>
      </x:c>
      <x:c r="E8" s="11" t="str">
        <x:v>用第一次击破教会命中反馈，不强制施放 Q。</x:v>
      </x:c>
      <x:c r="F8" s="11" t="str">
        <x:v>任务物 无；机关 无</x:v>
      </x:c>
      <x:c r="G8" s="11" t="str">
        <x:v>现有任务 + 体验打磨方案</x:v>
      </x:c>
      <x:c r="H8" s="11" t="str">
        <x:v>S6-1</x:v>
      </x:c>
    </x:row>
    <x:row r="9" ht="74" customHeight="1">
      <x:c r="A9" s="12" t="str">
        <x:v>L1-3</x:v>
      </x:c>
      <x:c r="B9" s="12" t="str">
        <x:v>霓雨下城</x:v>
      </x:c>
      <x:c r="C9" s="12" t="str">
        <x:v>平台交火</x:v>
      </x:c>
      <x:c r="D9" s="12" t="str">
        <x:v>结合二段跳与冲刺</x:v>
      </x:c>
      <x:c r="E9" s="12" t="str">
        <x:v>给出可观察敌弹与高低差，验证平台顶边可读。</x:v>
      </x:c>
      <x:c r="F9" s="12" t="str">
        <x:v>沿用实际 Prefab，遭遇摆位须 M1 实测后定稿</x:v>
      </x:c>
      <x:c r="G9" s="12" t="str">
        <x:v>现有任务 + 体验打磨方案</x:v>
      </x:c>
      <x:c r="H9" s="12" t="str">
        <x:v>S6-1</x:v>
      </x:c>
    </x:row>
    <x:row r="10" ht="74" customHeight="1">
      <x:c r="A10" s="11" t="str">
        <x:v>L1-4</x:v>
      </x:c>
      <x:c r="B10" s="11" t="str">
        <x:v>霓雨下城</x:v>
      </x:c>
      <x:c r="C10" s="11" t="str">
        <x:v>出口解锁</x:v>
      </x:c>
      <x:c r="D10" s="11" t="str">
        <x:v>完成清敌后找到右侧出口</x:v>
      </x:c>
      <x:c r="E10" s="11" t="str">
        <x:v>门状态、方向与距离同步；未清完时解释锁定原因。</x:v>
      </x:c>
      <x:c r="F10" s="11" t="str">
        <x:v>沿用实际 Prefab，遭遇摆位须 M1 实测后定稿</x:v>
      </x:c>
      <x:c r="G10" s="11" t="str">
        <x:v>现有任务 + 体验打磨方案</x:v>
      </x:c>
      <x:c r="H10" s="11" t="str">
        <x:v>S6-1</x:v>
      </x:c>
    </x:row>
    <x:row r="11" ht="74" customHeight="1">
      <x:c r="A11" s="12" t="str">
        <x:v>L1-5</x:v>
      </x:c>
      <x:c r="B11" s="12" t="str">
        <x:v>霓雨下城</x:v>
      </x:c>
      <x:c r="C11" s="12" t="str">
        <x:v>补给衔接</x:v>
      </x:c>
      <x:c r="D11" s="12" t="str">
        <x:v>选一项强化进入熔炉</x:v>
      </x:c>
      <x:c r="E11" s="12" t="str">
        <x:v>补给只出现三项且不重复；首次可用短文解释。</x:v>
      </x:c>
      <x:c r="F11" s="12" t="str">
        <x:v>沿用实际 Prefab，遭遇摆位须 M1 实测后定稿</x:v>
      </x:c>
      <x:c r="G11" s="12" t="str">
        <x:v>现有任务 + 体验打磨方案</x:v>
      </x:c>
      <x:c r="H11" s="12" t="str">
        <x:v>S6-1</x:v>
      </x:c>
    </x:row>
    <x:row r="12" ht="74" customHeight="1">
      <x:c r="A12" s="11" t="str">
        <x:v>L2-1</x:v>
      </x:c>
      <x:c r="B12" s="11" t="str">
        <x:v>熔炉生产线</x:v>
      </x:c>
      <x:c r="C12" s="11" t="str">
        <x:v>工业入口</x:v>
      </x:c>
      <x:c r="D12" s="11" t="str">
        <x:v>识别暖色生产区与可站立平台</x:v>
      </x:c>
      <x:c r="E12" s="11" t="str">
        <x:v>沿用第一关操作，不再重复完整教学。</x:v>
      </x:c>
      <x:c r="F12" s="11" t="str">
        <x:v>出生 玩家出生点(4, 1.4)；出口 关卡出口(42, 1.4)</x:v>
      </x:c>
      <x:c r="G12" s="11" t="str">
        <x:v>现有任务 + 体验打磨方案</x:v>
      </x:c>
      <x:c r="H12" s="11" t="str">
        <x:v>S6-2</x:v>
      </x:c>
    </x:row>
    <x:row r="13" ht="74" customHeight="1">
      <x:c r="A13" s="12" t="str">
        <x:v>L2-2</x:v>
      </x:c>
      <x:c r="B13" s="12" t="str">
        <x:v>熔炉生产线</x:v>
      </x:c>
      <x:c r="C13" s="12" t="str">
        <x:v>高低交火</x:v>
      </x:c>
      <x:c r="D13" s="12" t="str">
        <x:v>处理地面守卫与无人机</x:v>
      </x:c>
      <x:c r="E13" s="12" t="str">
        <x:v>视线上方留出读弹空间，避免背景火花与弹丸同形。</x:v>
      </x:c>
      <x:c r="F13" s="12" t="str">
        <x:v>任务物 无；机关 无</x:v>
      </x:c>
      <x:c r="G13" s="12" t="str">
        <x:v>现有任务 + 体验打磨方案</x:v>
      </x:c>
      <x:c r="H13" s="12" t="str">
        <x:v>S6-2</x:v>
      </x:c>
    </x:row>
    <x:row r="14" ht="74" customHeight="1">
      <x:c r="A14" s="11" t="str">
        <x:v>L2-3</x:v>
      </x:c>
      <x:c r="B14" s="11" t="str">
        <x:v>熔炉生产线</x:v>
      </x:c>
      <x:c r="C14" s="11" t="str">
        <x:v>压制选择</x:v>
      </x:c>
      <x:c r="D14" s="11" t="str">
        <x:v>使用职业能力建立输出窗口</x:v>
      </x:c>
      <x:c r="E14" s="11" t="str">
        <x:v>关卡不能要求某一指定职业才能穿过。</x:v>
      </x:c>
      <x:c r="F14" s="11" t="str">
        <x:v>沿用实际 Prefab，遭遇摆位须 M1 实测后定稿</x:v>
      </x:c>
      <x:c r="G14" s="11" t="str">
        <x:v>现有任务 + 体验打磨方案</x:v>
      </x:c>
      <x:c r="H14" s="11" t="str">
        <x:v>S6-2</x:v>
      </x:c>
    </x:row>
    <x:row r="15" ht="74" customHeight="1">
      <x:c r="A15" s="12" t="str">
        <x:v>L2-4</x:v>
      </x:c>
      <x:c r="B15" s="12" t="str">
        <x:v>熔炉生产线</x:v>
      </x:c>
      <x:c r="C15" s="12" t="str">
        <x:v>路线收束</x:v>
      </x:c>
      <x:c r="D15" s="12" t="str">
        <x:v>清完配额进入右侧出口</x:v>
      </x:c>
      <x:c r="E15" s="12" t="str">
        <x:v>结束前确认机枪/狙击均有合理站位。</x:v>
      </x:c>
      <x:c r="F15" s="12" t="str">
        <x:v>沿用实际 Prefab，遭遇摆位须 M1 实测后定稿</x:v>
      </x:c>
      <x:c r="G15" s="12" t="str">
        <x:v>现有任务 + 体验打磨方案</x:v>
      </x:c>
      <x:c r="H15" s="12" t="str">
        <x:v>S6-2</x:v>
      </x:c>
    </x:row>
    <x:row r="16" ht="74" customHeight="1">
      <x:c r="A16" s="11" t="str">
        <x:v>L3-1</x:v>
      </x:c>
      <x:c r="B16" s="11" t="str">
        <x:v>核心守卫</x:v>
      </x:c>
      <x:c r="C16" s="11" t="str">
        <x:v>竞技场入口</x:v>
      </x:c>
      <x:c r="D16" s="11" t="str">
        <x:v>识别 Boss 与战场边界</x:v>
      </x:c>
      <x:c r="E16" s="11" t="str">
        <x:v>建议显式入场提示与阶段反馈，不做不可跳过长镜头。</x:v>
      </x:c>
      <x:c r="F16" s="11" t="str">
        <x:v>出生 玩家出生点(4, 1.4)；出口 关卡出口(42, 1.4)</x:v>
      </x:c>
      <x:c r="G16" s="11" t="str">
        <x:v>现有任务 + 体验打磨方案</x:v>
      </x:c>
      <x:c r="H16" s="11" t="str">
        <x:v>S6-3</x:v>
      </x:c>
    </x:row>
    <x:row r="17" ht="74" customHeight="1">
      <x:c r="A17" s="12" t="str">
        <x:v>L3-2</x:v>
      </x:c>
      <x:c r="B17" s="12" t="str">
        <x:v>核心守卫</x:v>
      </x:c>
      <x:c r="C17" s="12" t="str">
        <x:v>常态阶段</x:v>
      </x:c>
      <x:c r="D17" s="12" t="str">
        <x:v>读五发扇形并反击</x:v>
      </x:c>
      <x:c r="E17" s="12" t="str">
        <x:v>先给完整读招周期，再通过火力和走位形成节奏。</x:v>
      </x:c>
      <x:c r="F17" s="12" t="str">
        <x:v>任务物 无；机关 无</x:v>
      </x:c>
      <x:c r="G17" s="12" t="str">
        <x:v>现有任务 + 体验打磨方案</x:v>
      </x:c>
      <x:c r="H17" s="12" t="str">
        <x:v>S6-3</x:v>
      </x:c>
    </x:row>
    <x:row r="18" ht="74" customHeight="1">
      <x:c r="A18" s="11" t="str">
        <x:v>L3-3</x:v>
      </x:c>
      <x:c r="B18" s="11" t="str">
        <x:v>核心守卫</x:v>
      </x:c>
      <x:c r="C18" s="11" t="str">
        <x:v>半血阶段</x:v>
      </x:c>
      <x:c r="D18" s="11" t="str">
        <x:v>应对九发扇形与更短间隔</x:v>
      </x:c>
      <x:c r="E18" s="11" t="str">
        <x:v>阶段切换必须有画面与声音提示，前摇与伤害同步。</x:v>
      </x:c>
      <x:c r="F18" s="11" t="str">
        <x:v>沿用实际 Prefab，遭遇摆位须 M1 实测后定稿</x:v>
      </x:c>
      <x:c r="G18" s="11" t="str">
        <x:v>现有任务 + 体验打磨方案</x:v>
      </x:c>
      <x:c r="H18" s="11" t="str">
        <x:v>S6-3</x:v>
      </x:c>
    </x:row>
    <x:row r="19" ht="74" customHeight="1">
      <x:c r="A19" s="12" t="str">
        <x:v>L3-4</x:v>
      </x:c>
      <x:c r="B19" s="12" t="str">
        <x:v>核心守卫</x:v>
      </x:c>
      <x:c r="C19" s="12" t="str">
        <x:v>战后通行</x:v>
      </x:c>
      <x:c r="D19" s="12" t="str">
        <x:v>Boss 败亡后前往右侧出口</x:v>
      </x:c>
      <x:c r="E19" s="12" t="str">
        <x:v>第三关不是终局，必须继续到第四关。</x:v>
      </x:c>
      <x:c r="F19" s="12" t="str">
        <x:v>沿用实际 Prefab，遭遇摆位须 M1 实测后定稿</x:v>
      </x:c>
      <x:c r="G19" s="12" t="str">
        <x:v>现有任务 + 体验打磨方案</x:v>
      </x:c>
      <x:c r="H19" s="12" t="str">
        <x:v>S6-3</x:v>
      </x:c>
    </x:row>
    <x:row r="20" ht="74" customHeight="1">
      <x:c r="A20" s="11" t="str">
        <x:v>L4-1</x:v>
      </x:c>
      <x:c r="B20" s="11" t="str">
        <x:v>天线高塔</x:v>
      </x:c>
      <x:c r="C20" s="11" t="str">
        <x:v>塔底识别</x:v>
      </x:c>
      <x:c r="D20" s="11" t="str">
        <x:v>看上方方向提示，理解不是清敌关</x:v>
      </x:c>
      <x:c r="E20" s="11" t="str">
        <x:v>任务明确为钥匙回收，不能用击杀数覆盖任务进度。</x:v>
      </x:c>
      <x:c r="F20" s="11" t="str">
        <x:v>出生 玩家出生点(4, 1.4)；出口 关卡出口(15, 26.32)</x:v>
      </x:c>
      <x:c r="G20" s="11" t="str">
        <x:v>现有任务 + 体验打磨方案</x:v>
      </x:c>
      <x:c r="H20" s="11" t="str">
        <x:v>S6-4</x:v>
      </x:c>
    </x:row>
    <x:row r="21" ht="74" customHeight="1">
      <x:c r="A21" s="12" t="str">
        <x:v>L4-2</x:v>
      </x:c>
      <x:c r="B21" s="12" t="str">
        <x:v>天线高塔</x:v>
      </x:c>
      <x:c r="C21" s="12" t="str">
        <x:v>中层攀登</x:v>
      </x:c>
      <x:c r="D21" s="12" t="str">
        <x:v>二段跳穿越垂直平台</x:v>
      </x:c>
      <x:c r="E21" s="12" t="str">
        <x:v>以最慢职业和机枪移速验证可达，不要求伤害升级。</x:v>
      </x:c>
      <x:c r="F21" s="12" t="str">
        <x:v>任务物 任务道具_1(9, 24.4)；机关 无</x:v>
      </x:c>
      <x:c r="G21" s="12" t="str">
        <x:v>现有任务 + 体验打磨方案</x:v>
      </x:c>
      <x:c r="H21" s="12" t="str">
        <x:v>S6-4</x:v>
      </x:c>
    </x:row>
    <x:row r="22" ht="74" customHeight="1">
      <x:c r="A22" s="11" t="str">
        <x:v>L4-3</x:v>
      </x:c>
      <x:c r="B22" s="11" t="str">
        <x:v>天线高塔</x:v>
      </x:c>
      <x:c r="C22" s="11" t="str">
        <x:v>天线回收</x:v>
      </x:c>
      <x:c r="D22" s="11" t="str">
        <x:v>触碰钥匙并看到进度完成</x:v>
      </x:c>
      <x:c r="E22" s="11" t="str">
        <x:v>钥匙与装饰独立轮廓；拾取后无需再按 E。</x:v>
      </x:c>
      <x:c r="F22" s="11" t="str">
        <x:v>沿用实际 Prefab，遭遇摆位须 M1 实测后定稿</x:v>
      </x:c>
      <x:c r="G22" s="11" t="str">
        <x:v>现有任务 + 体验打磨方案</x:v>
      </x:c>
      <x:c r="H22" s="11" t="str">
        <x:v>S6-4</x:v>
      </x:c>
    </x:row>
    <x:row r="23" ht="74" customHeight="1">
      <x:c r="A23" s="12" t="str">
        <x:v>L4-4</x:v>
      </x:c>
      <x:c r="B23" s="12" t="str">
        <x:v>天线高塔</x:v>
      </x:c>
      <x:c r="C23" s="12" t="str">
        <x:v>塔顶出口</x:v>
      </x:c>
      <x:c r="D23" s="12" t="str">
        <x:v>继续向上进入已解锁门</x:v>
      </x:c>
      <x:c r="E23" s="12" t="str">
        <x:v>镜头及时展示顶层落点，不让角色被 HUD 遮住。</x:v>
      </x:c>
      <x:c r="F23" s="12" t="str">
        <x:v>沿用实际 Prefab，遭遇摆位须 M1 实测后定稿</x:v>
      </x:c>
      <x:c r="G23" s="12" t="str">
        <x:v>现有任务 + 体验打磨方案</x:v>
      </x:c>
      <x:c r="H23" s="12" t="str">
        <x:v>S6-4</x:v>
      </x:c>
    </x:row>
    <x:row r="24" ht="74" customHeight="1">
      <x:c r="A24" s="11" t="str">
        <x:v>L5-1</x:v>
      </x:c>
      <x:c r="B24" s="11" t="str">
        <x:v>数据回收</x:v>
      </x:c>
      <x:c r="C24" s="11" t="str">
        <x:v>机房入口</x:v>
      </x:c>
      <x:c r="D24" s="11" t="str">
        <x:v>读三份数据的回收任务</x:v>
      </x:c>
      <x:c r="E24" s="11" t="str">
        <x:v>建议先展示左侧返回门与锁定原因。</x:v>
      </x:c>
      <x:c r="F24" s="11" t="str">
        <x:v>出生 玩家出生点(4, 1.4)；出口 关卡出口(3, 1.4)</x:v>
      </x:c>
      <x:c r="G24" s="11" t="str">
        <x:v>现有任务 + 体验打磨方案</x:v>
      </x:c>
      <x:c r="H24" s="11" t="str">
        <x:v>S6-5</x:v>
      </x:c>
    </x:row>
    <x:row r="25" ht="74" customHeight="1">
      <x:c r="A25" s="12" t="str">
        <x:v>L5-2</x:v>
      </x:c>
      <x:c r="B25" s="12" t="str">
        <x:v>数据回收</x:v>
      </x:c>
      <x:c r="C25" s="12" t="str">
        <x:v>深入探索</x:v>
      </x:c>
      <x:c r="D25" s="12" t="str">
        <x:v>在不同平台收集数据</x:v>
      </x:c>
      <x:c r="E25" s="12" t="str">
        <x:v>三份道具各有可达路线；不把敌人清空作为完成要求。</x:v>
      </x:c>
      <x:c r="F25" s="12" t="str">
        <x:v>任务物 任务道具_2(18, 5.8)；任务道具_1(10, 4.2)；任务道具_3(37, 5.9)；机关 无</x:v>
      </x:c>
      <x:c r="G25" s="12" t="str">
        <x:v>现有任务 + 体验打磨方案</x:v>
      </x:c>
      <x:c r="H25" s="12" t="str">
        <x:v>S6-5</x:v>
      </x:c>
    </x:row>
    <x:row r="26" ht="74" customHeight="1">
      <x:c r="A26" s="11" t="str">
        <x:v>L5-3</x:v>
      </x:c>
      <x:c r="B26" s="11" t="str">
        <x:v>数据回收</x:v>
      </x:c>
      <x:c r="C26" s="11" t="str">
        <x:v>最后回收</x:v>
      </x:c>
      <x:c r="D26" s="11" t="str">
        <x:v>确认进度 3/3</x:v>
      </x:c>
      <x:c r="E26" s="11" t="str">
        <x:v>拾取反馈同时显示返回目标，避免玩家继续盲向右走。</x:v>
      </x:c>
      <x:c r="F26" s="11" t="str">
        <x:v>沿用实际 Prefab，遭遇摆位须 M1 实测后定稿</x:v>
      </x:c>
      <x:c r="G26" s="11" t="str">
        <x:v>现有任务 + 体验打磨方案</x:v>
      </x:c>
      <x:c r="H26" s="11" t="str">
        <x:v>S6-5</x:v>
      </x:c>
    </x:row>
    <x:row r="27" ht="74" customHeight="1">
      <x:c r="A27" s="12" t="str">
        <x:v>L5-4</x:v>
      </x:c>
      <x:c r="B27" s="12" t="str">
        <x:v>数据回收</x:v>
      </x:c>
      <x:c r="C27" s="12" t="str">
        <x:v>原路返回</x:v>
      </x:c>
      <x:c r="D27" s="12" t="str">
        <x:v>带着数据从左侧入口离开</x:v>
      </x:c>
      <x:c r="E27" s="12" t="str">
        <x:v>回程允许敌人存在，需要方向箭头可靠翻转。</x:v>
      </x:c>
      <x:c r="F27" s="12" t="str">
        <x:v>沿用实际 Prefab，遭遇摆位须 M1 实测后定稿</x:v>
      </x:c>
      <x:c r="G27" s="12" t="str">
        <x:v>现有任务 + 体验打磨方案</x:v>
      </x:c>
      <x:c r="H27" s="12" t="str">
        <x:v>S6-5</x:v>
      </x:c>
    </x:row>
    <x:row r="28" ht="74" customHeight="1">
      <x:c r="A28" s="11" t="str">
        <x:v>L6-1</x:v>
      </x:c>
      <x:c r="B28" s="11" t="str">
        <x:v>配电迷阵</x:v>
      </x:c>
      <x:c r="C28" s="11" t="str">
        <x:v>配电观察</x:v>
      </x:c>
      <x:c r="D28" s="11" t="str">
        <x:v>找到顺序 II、I、III 与机关标识</x:v>
      </x:c>
      <x:c r="E28" s="11" t="str">
        <x:v>罗马数字配文字/形状，不能只靠三种颜色记忆。</x:v>
      </x:c>
      <x:c r="F28" s="11" t="str">
        <x:v>出生 玩家出生点(4, 1.4)；出口 关卡出口(22, 1.4)</x:v>
      </x:c>
      <x:c r="G28" s="11" t="str">
        <x:v>现有任务 + 体验打磨方案</x:v>
      </x:c>
      <x:c r="H28" s="11" t="str">
        <x:v>S6-6</x:v>
      </x:c>
    </x:row>
    <x:row r="29" ht="74" customHeight="1">
      <x:c r="A29" s="12" t="str">
        <x:v>L6-2</x:v>
      </x:c>
      <x:c r="B29" s="12" t="str">
        <x:v>配电迷阵</x:v>
      </x:c>
      <x:c r="C29" s="12" t="str">
        <x:v>试错输入</x:v>
      </x:c>
      <x:c r="D29" s="12" t="str">
        <x:v>靠近按 E，按顺序逐个接通</x:v>
      </x:c>
      <x:c r="E29" s="12" t="str">
        <x:v>第一次输错提示完整重置，不能保留假进度。</x:v>
      </x:c>
      <x:c r="F29" s="12" t="str">
        <x:v>任务物 无；机关 机关_3(37, 5.8)；机关_2(18, 5.7)；机关_1(10, 4.1)</x:v>
      </x:c>
      <x:c r="G29" s="12" t="str">
        <x:v>现有任务 + 体验打磨方案</x:v>
      </x:c>
      <x:c r="H29" s="12" t="str">
        <x:v>S6-6</x:v>
      </x:c>
    </x:row>
    <x:row r="30" ht="74" customHeight="1">
      <x:c r="A30" s="11" t="str">
        <x:v>L6-3</x:v>
      </x:c>
      <x:c r="B30" s="11" t="str">
        <x:v>配电迷阵</x:v>
      </x:c>
      <x:c r="C30" s="11" t="str">
        <x:v>完成线路</x:v>
      </x:c>
      <x:c r="D30" s="11" t="str">
        <x:v>最后一个正确输入后确认 3/3</x:v>
      </x:c>
      <x:c r="E30" s="11" t="str">
        <x:v>完成态锁定，不因重复按 E 回退。</x:v>
      </x:c>
      <x:c r="F30" s="11" t="str">
        <x:v>沿用实际 Prefab，遭遇摆位须 M1 实测后定稿</x:v>
      </x:c>
      <x:c r="G30" s="11" t="str">
        <x:v>现有任务 + 体验打磨方案</x:v>
      </x:c>
      <x:c r="H30" s="11" t="str">
        <x:v>S6-6</x:v>
      </x:c>
    </x:row>
    <x:row r="31" ht="74" customHeight="1">
      <x:c r="A31" s="12" t="str">
        <x:v>L6-4</x:v>
      </x:c>
      <x:c r="B31" s="12" t="str">
        <x:v>配电迷阵</x:v>
      </x:c>
      <x:c r="C31" s="12" t="str">
        <x:v>中部离开</x:v>
      </x:c>
      <x:c r="D31" s="12" t="str">
        <x:v>回到地图中部出口</x:v>
      </x:c>
      <x:c r="E31" s="12" t="str">
        <x:v>HUD 指向中部，不能默认要求走到最右端。</x:v>
      </x:c>
      <x:c r="F31" s="12" t="str">
        <x:v>沿用实际 Prefab，遭遇摆位须 M1 实测后定稿</x:v>
      </x:c>
      <x:c r="G31" s="12" t="str">
        <x:v>现有任务 + 体验打磨方案</x:v>
      </x:c>
      <x:c r="H31" s="12" t="str">
        <x:v>S6-6</x:v>
      </x:c>
    </x:row>
    <x:row r="32" ht="74" customHeight="1">
      <x:c r="A32" s="11" t="str">
        <x:v>L7-1</x:v>
      </x:c>
      <x:c r="B32" s="11" t="str">
        <x:v>地下档案</x:v>
      </x:c>
      <x:c r="C32" s="11" t="str">
        <x:v>上层入口</x:v>
      </x:c>
      <x:c r="D32" s="11" t="str">
        <x:v>识别下行目标与底部出口</x:v>
      </x:c>
      <x:c r="E32" s="11" t="str">
        <x:v>建议用安全平台提示 S 穿越，不强制盲跳。</x:v>
      </x:c>
      <x:c r="F32" s="11" t="str">
        <x:v>出生 玩家出生点(8, 23.82)；出口 关卡出口(5, 1.4)</x:v>
      </x:c>
      <x:c r="G32" s="11" t="str">
        <x:v>现有任务 + 体验打磨方案</x:v>
      </x:c>
      <x:c r="H32" s="11" t="str">
        <x:v>S6-7</x:v>
      </x:c>
    </x:row>
    <x:row r="33" ht="74" customHeight="1">
      <x:c r="A33" s="12" t="str">
        <x:v>L7-2</x:v>
      </x:c>
      <x:c r="B33" s="12" t="str">
        <x:v>地下档案</x:v>
      </x:c>
      <x:c r="C33" s="12" t="str">
        <x:v>档案一</x:v>
      </x:c>
      <x:c r="D33" s="12" t="str">
        <x:v>向下收集第一个档案</x:v>
      </x:c>
      <x:c r="E33" s="12" t="str">
        <x:v>落点需要提前可见，子弹与档案光效不同。</x:v>
      </x:c>
      <x:c r="F33" s="12" t="str">
        <x:v>任务物 任务道具_2(17, 6.6)；任务道具_1(7, 14.1)；机关 无</x:v>
      </x:c>
      <x:c r="G33" s="12" t="str">
        <x:v>现有任务 + 体验打磨方案</x:v>
      </x:c>
      <x:c r="H33" s="12" t="str">
        <x:v>S6-7</x:v>
      </x:c>
    </x:row>
    <x:row r="34" ht="74" customHeight="1">
      <x:c r="A34" s="11" t="str">
        <x:v>L7-3</x:v>
      </x:c>
      <x:c r="B34" s="11" t="str">
        <x:v>地下档案</x:v>
      </x:c>
      <x:c r="C34" s="11" t="str">
        <x:v>档案二</x:v>
      </x:c>
      <x:c r="D34" s="11" t="str">
        <x:v>继续下行收齐两个档案</x:v>
      </x:c>
      <x:c r="E34" s="11" t="str">
        <x:v>任务目标可从任意顺序完成，不因路线选择软锁。</x:v>
      </x:c>
      <x:c r="F34" s="11" t="str">
        <x:v>沿用实际 Prefab，遭遇摆位须 M1 实测后定稿</x:v>
      </x:c>
      <x:c r="G34" s="11" t="str">
        <x:v>现有任务 + 体验打磨方案</x:v>
      </x:c>
      <x:c r="H34" s="11" t="str">
        <x:v>S6-7</x:v>
      </x:c>
    </x:row>
    <x:row r="35" ht="74" customHeight="1">
      <x:c r="A35" s="12" t="str">
        <x:v>L7-4</x:v>
      </x:c>
      <x:c r="B35" s="12" t="str">
        <x:v>地下档案</x:v>
      </x:c>
      <x:c r="C35" s="12" t="str">
        <x:v>底层离开</x:v>
      </x:c>
      <x:c r="D35" s="12" t="str">
        <x:v>到达左下出口</x:v>
      </x:c>
      <x:c r="E35" s="12" t="str">
        <x:v>镜头与方向图标都能表达向下和向左。</x:v>
      </x:c>
      <x:c r="F35" s="12" t="str">
        <x:v>沿用实际 Prefab，遭遇摆位须 M1 实测后定稿</x:v>
      </x:c>
      <x:c r="G35" s="12" t="str">
        <x:v>现有任务 + 体验打磨方案</x:v>
      </x:c>
      <x:c r="H35" s="12" t="str">
        <x:v>S6-7</x:v>
      </x:c>
    </x:row>
    <x:row r="36" ht="74" customHeight="1">
      <x:c r="A36" s="11" t="str">
        <x:v>L8-1</x:v>
      </x:c>
      <x:c r="B36" s="11" t="str">
        <x:v>中枢停机</x:v>
      </x:c>
      <x:c r="C36" s="11" t="str">
        <x:v>中枢入口</x:v>
      </x:c>
      <x:c r="D36" s="11" t="str">
        <x:v>读懂 Boss 与停机两项目标</x:v>
      </x:c>
      <x:c r="E36" s="11" t="str">
        <x:v>两个进度分开呈现，说明最后无需另找传送门。</x:v>
      </x:c>
      <x:c r="F36" s="11" t="str">
        <x:v>出生 玩家出生点(4, 1.4)；出口 关卡出口(22, 5.22)</x:v>
      </x:c>
      <x:c r="G36" s="11" t="str">
        <x:v>现有任务 + 体验打磨方案</x:v>
      </x:c>
      <x:c r="H36" s="11" t="str">
        <x:v>S6-8</x:v>
      </x:c>
    </x:row>
    <x:row r="37" ht="74" customHeight="1">
      <x:c r="A37" s="12" t="str">
        <x:v>L8-2</x:v>
      </x:c>
      <x:c r="B37" s="12" t="str">
        <x:v>中枢停机</x:v>
      </x:c>
      <x:c r="C37" s="12" t="str">
        <x:v>目标选择</x:v>
      </x:c>
      <x:c r="D37" s="12" t="str">
        <x:v>先打 Boss 或先操作机关</x:v>
      </x:c>
      <x:c r="E37" s="12" t="str">
        <x:v>敌人压力下仍应能识别机关，所有职业可完成。</x:v>
      </x:c>
      <x:c r="F37" s="12" t="str">
        <x:v>任务物 无；机关 机关_3(37, 5.8)；机关_2(18, 5.7)；机关_1(10, 4.1)</x:v>
      </x:c>
      <x:c r="G37" s="12" t="str">
        <x:v>现有任务 + 体验打磨方案</x:v>
      </x:c>
      <x:c r="H37" s="12" t="str">
        <x:v>S6-8</x:v>
      </x:c>
    </x:row>
    <x:row r="38" ht="74" customHeight="1">
      <x:c r="A38" s="11" t="str">
        <x:v>L8-3</x:v>
      </x:c>
      <x:c r="B38" s="11" t="str">
        <x:v>中枢停机</x:v>
      </x:c>
      <x:c r="C38" s="11" t="str">
        <x:v>单目标完成</x:v>
      </x:c>
      <x:c r="D38" s="11" t="str">
        <x:v>任意一项完成</x:v>
      </x:c>
      <x:c r="E38" s="11" t="str">
        <x:v>HUD 明确指出剩余目标；不能提前胜利。</x:v>
      </x:c>
      <x:c r="F38" s="11" t="str">
        <x:v>沿用实际 Prefab，遭遇摆位须 M1 实测后定稿</x:v>
      </x:c>
      <x:c r="G38" s="11" t="str">
        <x:v>现有任务 + 体验打磨方案</x:v>
      </x:c>
      <x:c r="H38" s="11" t="str">
        <x:v>S6-8</x:v>
      </x:c>
    </x:row>
    <x:row r="39" ht="74" customHeight="1">
      <x:c r="A39" s="12" t="str">
        <x:v>L8-4</x:v>
      </x:c>
      <x:c r="B39" s="12" t="str">
        <x:v>中枢停机</x:v>
      </x:c>
      <x:c r="C39" s="12" t="str">
        <x:v>双目标完成</x:v>
      </x:c>
      <x:c r="D39" s="12" t="str">
        <x:v>关闭中枢且守卫倒下</x:v>
      </x:c>
      <x:c r="E39" s="12" t="str">
        <x:v>立刻结算并停止战斗；玩家无须移动到指定点。</x:v>
      </x:c>
      <x:c r="F39" s="12" t="str">
        <x:v>沿用实际 Prefab，遭遇摆位须 M1 实测后定稿</x:v>
      </x:c>
      <x:c r="G39" s="12" t="str">
        <x:v>现有任务 + 体验打磨方案</x:v>
      </x:c>
      <x:c r="H39" s="12" t="str">
        <x:v>S6-8</x:v>
      </x:c>
    </x:row>
    <x:row r="40" ht="74" customHeight="1">
      <x:c r="A40" s="11" t="str">
        <x:v>L8-5</x:v>
      </x:c>
      <x:c r="B40" s="11" t="str">
        <x:v>中枢停机</x:v>
      </x:c>
      <x:c r="C40" s="11" t="str">
        <x:v>结局反馈</x:v>
      </x:c>
      <x:c r="D40" s="11" t="str">
        <x:v>查看结算、重开或回菜单</x:v>
      </x:c>
      <x:c r="E40" s="11" t="str">
        <x:v>建议增加城市停机结果反馈，不新增第九关。</x:v>
      </x:c>
      <x:c r="F40" s="11" t="str">
        <x:v>沿用实际 Prefab，遭遇摆位须 M1 实测后定稿</x:v>
      </x:c>
      <x:c r="G40" s="11" t="str">
        <x:v>现有任务 + 体验打磨方案</x:v>
      </x:c>
      <x:c r="H40" s="11" t="str">
        <x:v>S6-8</x:v>
      </x:c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630000114440918" hidden="0" customWidth="1"/>
    <x:col min="2" max="2" width="15" hidden="0" customWidth="1"/>
    <x:col min="3" max="3" width="32.5" hidden="0" customWidth="1"/>
    <x:col min="4" max="4" width="34.380001068115234" hidden="0" customWidth="1"/>
    <x:col min="5" max="5" width="32.5" hidden="0" customWidth="1"/>
    <x:col min="6" max="6" width="2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UI 状态、反馈与异常分支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每个页面必须有输入、返回路径和异常状态。现状与本期新增分开记录。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2" customHeight="1">
      <x:c r="A6" s="9" t="str">
        <x:v>界面 ID</x:v>
      </x:c>
      <x:c r="B6" s="9" t="str">
        <x:v>状态</x:v>
      </x:c>
      <x:c r="C6" s="9" t="str">
        <x:v>进入与可操作项</x:v>
      </x:c>
      <x:c r="D6" s="9" t="str">
        <x:v>显示内容与文案要求</x:v>
      </x:c>
      <x:c r="E6" s="9" t="str">
        <x:v>退出、失败与边界</x:v>
      </x:c>
      <x:c r="F6" s="9" t="str">
        <x:v>实现边界</x:v>
      </x:c>
    </x:row>
    <x:row r="7" ht="71" customHeight="1">
      <x:c r="A7" s="12" t="str">
        <x:v>UI-01</x:v>
      </x:c>
      <x:c r="B7" s="12" t="str">
        <x:v>首页</x:v>
      </x:c>
      <x:c r="C7" s="12" t="str">
        <x:v>启动或返回菜单；开始游戏、声音控制。</x:v>
      </x:c>
      <x:c r="D7" s="12" t="str">
        <x:v>游戏名、开始入口、已有最高分和当前配装预览。</x:v>
      </x:c>
      <x:c r="E7" s="12" t="str">
        <x:v>Enter 进入难度；不得直接用上局遗留战斗状态出击。</x:v>
      </x:c>
      <x:c r="F7" s="12" t="str">
        <x:v>已有；文字可读性打磨</x:v>
      </x:c>
    </x:row>
    <x:row r="8" ht="71" customHeight="1">
      <x:c r="A8" s="11" t="str">
        <x:v>UI-02</x:v>
      </x:c>
      <x:c r="B8" s="11" t="str">
        <x:v>难度</x:v>
      </x:c>
      <x:c r="C8" s="11" t="str">
        <x:v>三档卡片单选；下一步、返回。</x:v>
      </x:c>
      <x:c r="D8" s="11" t="str">
        <x:v>显示敌生命/伤害/攻击间隔倍率，说明更慢/更快。</x:v>
      </x:c>
      <x:c r="E8" s="11" t="str">
        <x:v>返回保留选择；鼠标和 Enter 走相同路径。</x:v>
      </x:c>
      <x:c r="F8" s="11" t="str">
        <x:v>已有</x:v>
      </x:c>
    </x:row>
    <x:row r="9" ht="71" customHeight="1">
      <x:c r="A9" s="12" t="str">
        <x:v>UI-03</x:v>
      </x:c>
      <x:c r="B9" s="12" t="str">
        <x:v>职业</x:v>
      </x:c>
      <x:c r="C9" s="12" t="str">
        <x:v>四职业卡片单选；下一步、返回。</x:v>
      </x:c>
      <x:c r="D9" s="12" t="str">
        <x:v>模型、定位、持续、冷却和具体作用；数值读取当前配置。</x:v>
      </x:c>
      <x:c r="E9" s="12" t="str">
        <x:v>侦察明确“标记现有敌人、6 秒冷却”；不能再写位移。</x:v>
      </x:c>
      <x:c r="F9" s="12" t="str">
        <x:v>已有</x:v>
      </x:c>
    </x:row>
    <x:row r="10" ht="71" customHeight="1">
      <x:c r="A10" s="11" t="str">
        <x:v>UI-04</x:v>
      </x:c>
      <x:c r="B10" s="11" t="str">
        <x:v>枪械</x:v>
      </x:c>
      <x:c r="C10" s="11" t="str">
        <x:v>五枪单选；确认配置并出击。</x:v>
      </x:c>
      <x:c r="D10" s="11" t="str">
        <x:v>模型、特性、基础参数和“本局固定使用”。</x:v>
      </x:c>
      <x:c r="E10" s="11" t="str">
        <x:v>不可在页面切换时提前重置/开启战局；返回保留选择。</x:v>
      </x:c>
      <x:c r="F10" s="11" t="str">
        <x:v>已有</x:v>
      </x:c>
    </x:row>
    <x:row r="11" ht="71" customHeight="1">
      <x:c r="A11" s="12" t="str">
        <x:v>UI-05</x:v>
      </x:c>
      <x:c r="B11" s="12" t="str">
        <x:v>任务 HUD</x:v>
      </x:c>
      <x:c r="C11" s="12" t="str">
        <x:v>Playing 与关间必要提示。</x:v>
      </x:c>
      <x:c r="D11" s="12" t="str">
        <x:v>关卡、任务进度、出口方向/距离、生命、枪械、技能状态。</x:v>
      </x:c>
      <x:c r="E11" s="12" t="str">
        <x:v>终关只显示剩余目标与完成即结算，不展示假出口要求。</x:v>
      </x:c>
      <x:c r="F11" s="12" t="str">
        <x:v>已有；布局与对比打磨</x:v>
      </x:c>
    </x:row>
    <x:row r="12" ht="71" customHeight="1">
      <x:c r="A12" s="11" t="str">
        <x:v>UI-06</x:v>
      </x:c>
      <x:c r="B12" s="11" t="str">
        <x:v>技能就绪/冷却</x:v>
      </x:c>
      <x:c r="C12" s="11" t="str">
        <x:v>按 Q 或冷却推进。</x:v>
      </x:c>
      <x:c r="D12" s="11" t="str">
        <x:v>就绪、剩余秒数、持续剩余时间与扫描数量分别表达。</x:v>
      </x:c>
      <x:c r="E12" s="11" t="str">
        <x:v>冷却未结束按 Q 不重复消耗；无目标施放也进入冷却。</x:v>
      </x:c>
      <x:c r="F12" s="11" t="str">
        <x:v>已有逻辑；提示细化方案</x:v>
      </x:c>
    </x:row>
    <x:row r="13" ht="71" customHeight="1">
      <x:c r="A13" s="12" t="str">
        <x:v>UI-07</x:v>
      </x:c>
      <x:c r="B13" s="12" t="str">
        <x:v>任务门锁定</x:v>
      </x:c>
      <x:c r="C13" s="12" t="str">
        <x:v>未达到目标而接近出口。</x:v>
      </x:c>
      <x:c r="D13" s="12" t="str">
        <x:v>明确原因：还缺道具/机关未完成/敌军未清。</x:v>
      </x:c>
      <x:c r="E13" s="12" t="str">
        <x:v>不要只显示红灯；满足后同帧或下一更新转就绪。</x:v>
      </x:c>
      <x:c r="F13" s="12" t="str">
        <x:v>锁定已有；原因提示方案</x:v>
      </x:c>
    </x:row>
    <x:row r="14" ht="71" customHeight="1">
      <x:c r="A14" s="11" t="str">
        <x:v>UI-08</x:v>
      </x:c>
      <x:c r="B14" s="11" t="str">
        <x:v>机关反馈</x:v>
      </x:c>
      <x:c r="C14" s="11" t="str">
        <x:v>靠近并按 E。</x:v>
      </x:c>
      <x:c r="D14" s="11" t="str">
        <x:v>可交互提示、编号、接通进度、错误重置文字。</x:v>
      </x:c>
      <x:c r="E14" s="11" t="str">
        <x:v>不靠单一颜色传递状态；已全部完成后不能误退。</x:v>
      </x:c>
      <x:c r="F14" s="11" t="str">
        <x:v>已有反馈；无障碍打磨</x:v>
      </x:c>
    </x:row>
    <x:row r="15" ht="71" customHeight="1">
      <x:c r="A15" s="12" t="str">
        <x:v>UI-09</x:v>
      </x:c>
      <x:c r="B15" s="12" t="str">
        <x:v>关间补给</x:v>
      </x:c>
      <x:c r="C15" s="12" t="str">
        <x:v>通关第 1—7 关。</x:v>
      </x:c>
      <x:c r="D15" s="12" t="str">
        <x:v>三张卡的数值和效果、鼠标及数字键入口。</x:v>
      </x:c>
      <x:c r="E15" s="12" t="str">
        <x:v>点击后锁定提交，防止同帧多选；不得出现第八关后的补给。</x:v>
      </x:c>
      <x:c r="F15" s="12" t="str">
        <x:v>已有</x:v>
      </x:c>
    </x:row>
    <x:row r="16" ht="71" customHeight="1">
      <x:c r="A16" s="11" t="str">
        <x:v>UI-10</x:v>
      </x:c>
      <x:c r="B16" s="11" t="str">
        <x:v>暂停/失焦</x:v>
      </x:c>
      <x:c r="C16" s="11" t="str">
        <x:v>Esc 或战斗时窗口失焦。</x:v>
      </x:c>
      <x:c r="D16" s="11" t="str">
        <x:v>继续和返回菜单；建议增加返回会丢失本局的确认。</x:v>
      </x:c>
      <x:c r="E16" s="11" t="str">
        <x:v>时间、敌弹和技能冻结；恢复不应自动补放点击。</x:v>
      </x:c>
      <x:c r="F16" s="11" t="str">
        <x:v>暂停已有；二次确认方案</x:v>
      </x:c>
    </x:row>
    <x:row r="17" ht="71" customHeight="1">
      <x:c r="A17" s="12" t="str">
        <x:v>UI-11</x:v>
      </x:c>
      <x:c r="B17" s="12" t="str">
        <x:v>胜利/失败</x:v>
      </x:c>
      <x:c r="C17" s="12" t="str">
        <x:v>触发相应战局终态。</x:v>
      </x:c>
      <x:c r="D17" s="12" t="str">
        <x:v>结果、分数、击破、最高连击、职业、难度、用时。</x:v>
      </x:c>
      <x:c r="E17" s="12" t="str">
        <x:v>R 沿用配置重开，Esc 回首页；旧弹丸不再造成伤害。</x:v>
      </x:c>
      <x:c r="F17" s="12" t="str">
        <x:v>已有</x:v>
      </x:c>
    </x:row>
    <x:row r="18" ht="71" customHeight="1">
      <x:c r="A18" s="11" t="str">
        <x:v>UI-12</x:v>
      </x:c>
      <x:c r="B18" s="11" t="str">
        <x:v>网页资源加载</x:v>
      </x:c>
      <x:c r="C18" s="11" t="str">
        <x:v>点击启动试玩。</x:v>
      </x:c>
      <x:c r="D18" s="11" t="str">
        <x:v>版本号、下载/启动进度、失败说明与重试。</x:v>
      </x:c>
      <x:c r="E18" s="11" t="str">
        <x:v>网络失败保留版本选择，不静默切到其他版本。</x:v>
      </x:c>
      <x:c r="F18" s="11" t="str">
        <x:v>已有；兼容复验</x:v>
      </x:c>
    </x:row>
    <x:row r="19" ht="71" customHeight="1">
      <x:c r="A19" s="12" t="str">
        <x:v>UI-13</x:v>
      </x:c>
      <x:c r="B19" s="12" t="str">
        <x:v>设置</x:v>
      </x:c>
      <x:c r="C19" s="12" t="str">
        <x:v>方案：从首页与暂停页进入。</x:v>
      </x:c>
      <x:c r="D19" s="12" t="str">
        <x:v>音量分项、屏幕震动开关、字幕/字号、按键查看；改键需另确认范围。</x:v>
      </x:c>
      <x:c r="E19" s="12" t="str">
        <x:v>退出保留本机设置；默认值和恢复默认需可测。</x:v>
      </x:c>
      <x:c r="F19" s="12" t="str">
        <x:v>新增方案 W11</x:v>
      </x:c>
    </x:row>
    <x:row r="20" ht="71" customHeight="1">
      <x:c r="A20" s="11" t="str">
        <x:v>UI-14</x:v>
      </x:c>
      <x:c r="B20" s="11" t="str">
        <x:v>存档说明</x:v>
      </x:c>
      <x:c r="C20" s="11" t="str">
        <x:v>重载、关窗或版本切换前相关入口。</x:v>
      </x:c>
      <x:c r="D20" s="11" t="str">
        <x:v>当前仅最高分持久化；刷新不能恢复本局。</x:v>
      </x:c>
      <x:c r="E20" s="11" t="str">
        <x:v>不得使用“自动保存本局”等未实现文案。</x:v>
      </x:c>
      <x:c r="F20" s="11" t="str">
        <x:v>现状说明；断局续玩另评审</x:v>
      </x:c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25" hidden="0" customWidth="1"/>
    <x:col min="2" max="2" width="30" hidden="0" customWidth="1"/>
    <x:col min="3" max="3" width="35" hidden="0" customWidth="1"/>
    <x:col min="4" max="4" width="37.5" hidden="0" customWidth="1"/>
    <x:col min="5" max="5" width="16.25" hidden="0" customWidth="1"/>
    <x:col min="6" max="6" width="2.75" hidden="0" customWidth="1"/>
    <x:col min="7" max="7" width="12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美术规范与交互反馈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</x:row>
    <x:row r="4" ht="24" customHeight="1">
      <x:c r="A4" s="5" t="str">
        <x:v>基于已实现的赛博朋克像素方向整理制作规范。标为“建议”的内容仍需制作与验证。</x:v>
      </x:c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2" customHeight="1">
      <x:c r="A6" s="9" t="str">
        <x:v>对象</x:v>
      </x:c>
      <x:c r="B6" s="9" t="str">
        <x:v>视觉与声音方向</x:v>
      </x:c>
      <x:c r="C6" s="9" t="str">
        <x:v>功能要求</x:v>
      </x:c>
      <x:c r="D6" s="9" t="str">
        <x:v>制作与验收要求</x:v>
      </x:c>
      <x:c r="E6" s="9" t="str">
        <x:v>状态</x:v>
      </x:c>
      <x:c r="F6" s="9" t="str"/>
      <x:c r="G6" s="9" t="str">
        <x:v>依据</x:v>
      </x:c>
    </x:row>
    <x:row r="7" ht="53" customHeight="1">
      <x:c r="A7" s="12" t="str">
        <x:v>整体风格</x:v>
      </x:c>
      <x:c r="B7" s="12" t="str">
        <x:v>未来城市、像素主体、冷暖霓虹与工业设施</x:v>
      </x:c>
      <x:c r="C7" s="12" t="str">
        <x:v>景深和气氛服务于移动与瞄准</x:v>
      </x:c>
      <x:c r="D7" s="12" t="str">
        <x:v>背景压低对比，人物、弹幕与交互物有独立轮廓</x:v>
      </x:c>
      <x:c r="E7" s="12" t="str">
        <x:v>方向已确定</x:v>
      </x:c>
      <x:c r="F7" s="12" t="str"/>
      <x:c r="G7" s="12" t="str">
        <x:v>S1、S7</x:v>
      </x:c>
    </x:row>
    <x:row r="8" ht="53" customHeight="1">
      <x:c r="A8" s="11" t="str">
        <x:v>四职业</x:v>
      </x:c>
      <x:c r="B8" s="11" t="str">
        <x:v>突击橙、医疗绿、工程黄铜、侦察紫</x:v>
      </x:c>
      <x:c r="C8" s="11" t="str">
        <x:v>职业外形和技能可区分</x:v>
      </x:c>
      <x:c r="D8" s="11" t="str">
        <x:v>共享动作逻辑但保留不同装备、配色与头身轮廓</x:v>
      </x:c>
      <x:c r="E8" s="11" t="str">
        <x:v>已有独立外观</x:v>
      </x:c>
      <x:c r="F8" s="11" t="str"/>
      <x:c r="G8" s="11" t="str">
        <x:v>S1、S7</x:v>
      </x:c>
    </x:row>
    <x:row r="9" ht="53" customHeight="1">
      <x:c r="A9" s="12" t="str">
        <x:v>五类枪械</x:v>
      </x:c>
      <x:c r="B9" s="12" t="str">
        <x:v>不同长度、枪管、弹匣与枪口闪光</x:v>
      </x:c>
      <x:c r="C9" s="12" t="str">
        <x:v>旋转瞄准时枪口与握持点稳定</x:v>
      </x:c>
      <x:c r="D9" s="12" t="str">
        <x:v>检查左、右、上下和非 16:9 窗口，武器不能飞出屏幕</x:v>
      </x:c>
      <x:c r="E9" s="12" t="str">
        <x:v>已有模型与回归</x:v>
      </x:c>
      <x:c r="F9" s="12" t="str"/>
      <x:c r="G9" s="12" t="str">
        <x:v>S1、S8</x:v>
      </x:c>
    </x:row>
    <x:row r="10" ht="53" customHeight="1">
      <x:c r="A10" s="11" t="str">
        <x:v>动作</x:v>
      </x:c>
      <x:c r="B10" s="11" t="str">
        <x:v>跑动摆腿、跳跃收腿、披风随动作摆动</x:v>
      </x:c>
      <x:c r="C10" s="11" t="str">
        <x:v>移动时能识别方向与当前姿态</x:v>
      </x:c>
      <x:c r="D10" s="11" t="str">
        <x:v>建议补充受击、落地、死亡与施法的完整动画节奏</x:v>
      </x:c>
      <x:c r="E10" s="11" t="str">
        <x:v>基础已实现，深化建议</x:v>
      </x:c>
      <x:c r="F10" s="11" t="str"/>
      <x:c r="G10" s="11" t="str">
        <x:v>S1、S7</x:v>
      </x:c>
    </x:row>
    <x:row r="11" ht="53" customHeight="1">
      <x:c r="A11" s="12" t="str">
        <x:v>第一关</x:v>
      </x:c>
      <x:c r="B11" s="12" t="str">
        <x:v>青蓝雨夜、橙色窗光、分层城市</x:v>
      </x:c>
      <x:c r="C11" s="12" t="str">
        <x:v>作为美术与可读性样板</x:v>
      </x:c>
      <x:c r="D11" s="12" t="str">
        <x:v>人物不融入背景，右侧接驳电梯可辨</x:v>
      </x:c>
      <x:c r="E11" s="12" t="str">
        <x:v>已实现</x:v>
      </x:c>
      <x:c r="F11" s="12" t="str"/>
      <x:c r="G11" s="12" t="str">
        <x:v>S7</x:v>
      </x:c>
    </x:row>
    <x:row r="12" ht="53" customHeight="1">
      <x:c r="A12" s="11" t="str">
        <x:v>第二、三关</x:v>
      </x:c>
      <x:c r="B12" s="11" t="str">
        <x:v>橙红熔炉；冷蓝安保反应厅</x:v>
      </x:c>
      <x:c r="C12" s="11" t="str">
        <x:v>区分生产区与守卫战场</x:v>
      </x:c>
      <x:c r="D12" s="11" t="str">
        <x:v>Boss 和弹幕保持前景对比，不用背景高亮冒充危险</x:v>
      </x:c>
      <x:c r="E12" s="11" t="str">
        <x:v>已实现</x:v>
      </x:c>
      <x:c r="F12" s="11" t="str"/>
      <x:c r="G12" s="11" t="str">
        <x:v>S7</x:v>
      </x:c>
    </x:row>
    <x:row r="13" ht="53" customHeight="1">
      <x:c r="A13" s="12" t="str">
        <x:v>第四、五关</x:v>
      </x:c>
      <x:c r="B13" s="12" t="str">
        <x:v>雷雨高塔；青绿数据机房</x:v>
      </x:c>
      <x:c r="C13" s="12" t="str">
        <x:v>表达向上攀登与数据回收</x:v>
      </x:c>
      <x:c r="D13" s="12" t="str">
        <x:v>高塔平台顶边清晰，数据物与灯光装饰可区分</x:v>
      </x:c>
      <x:c r="E13" s="12" t="str">
        <x:v>已实现</x:v>
      </x:c>
      <x:c r="F13" s="12" t="str"/>
      <x:c r="G13" s="12" t="str">
        <x:v>S7</x:v>
      </x:c>
    </x:row>
    <x:row r="14" ht="53" customHeight="1">
      <x:c r="A14" s="11" t="str">
        <x:v>第六至八关</x:v>
      </x:c>
      <x:c r="B14" s="11" t="str">
        <x:v>工业配电；深绿档案；紫红中枢</x:v>
      </x:c>
      <x:c r="C14" s="11" t="str">
        <x:v>支撑解谜、下行和最终战</x:v>
      </x:c>
      <x:c r="D14" s="11" t="str">
        <x:v>机关显示未接通、已接通与错误重置三个状态</x:v>
      </x:c>
      <x:c r="E14" s="11" t="str">
        <x:v>已实现</x:v>
      </x:c>
      <x:c r="F14" s="11" t="str"/>
      <x:c r="G14" s="11" t="str">
        <x:v>S7</x:v>
      </x:c>
    </x:row>
    <x:row r="15" ht="53" customHeight="1">
      <x:c r="A15" s="12" t="str">
        <x:v>战斗 HUD</x:v>
      </x:c>
      <x:c r="B15" s="12" t="str">
        <x:v>顶部任务与进度，技能倒计时，携带枪械状态</x:v>
      </x:c>
      <x:c r="C15" s="12" t="str">
        <x:v>让玩家知道下一步行动和当前限制</x:v>
      </x:c>
      <x:c r="D15" s="12" t="str">
        <x:v>扫描显示标记数量，机枪显示过热；不得显示可局内切枪的提示</x:v>
      </x:c>
      <x:c r="E15" s="12" t="str">
        <x:v>已实现</x:v>
      </x:c>
      <x:c r="F15" s="12" t="str"/>
      <x:c r="G15" s="12" t="str">
        <x:v>S1、S4</x:v>
      </x:c>
    </x:row>
    <x:row r="16" ht="53" customHeight="1">
      <x:c r="A16" s="11" t="str">
        <x:v>出口引导</x:v>
      </x:c>
      <x:c r="B16" s="11" t="str">
        <x:v>方向箭头、距离、锁定与就绪颜色</x:v>
      </x:c>
      <x:c r="C16" s="11" t="str">
        <x:v>支持右、左、上、下与中部出口</x:v>
      </x:c>
      <x:c r="D16" s="11" t="str">
        <x:v>第八关改为完成即结算提示，不能再要求找出口</x:v>
      </x:c>
      <x:c r="E16" s="11" t="str">
        <x:v>已实现</x:v>
      </x:c>
      <x:c r="F16" s="11" t="str"/>
      <x:c r="G16" s="11" t="str">
        <x:v>S5</x:v>
      </x:c>
    </x:row>
    <x:row r="17" ht="53" customHeight="1">
      <x:c r="A17" s="12" t="str">
        <x:v>音效</x:v>
      </x:c>
      <x:c r="B17" s="12" t="str">
        <x:v>合成射击、命中、跳跃和升级反馈</x:v>
      </x:c>
      <x:c r="C17" s="12" t="str">
        <x:v>强化射击与完成任务的确认感</x:v>
      </x:c>
      <x:c r="D17" s="12" t="str">
        <x:v>建议补充职业施放、机关错误、Boss 阶段切换专属音色</x:v>
      </x:c>
      <x:c r="E17" s="12" t="str">
        <x:v>基础已实现，深化建议</x:v>
      </x:c>
      <x:c r="F17" s="12" t="str"/>
      <x:c r="G17" s="12" t="str">
        <x:v>S3</x:v>
      </x:c>
    </x:row>
    <x:row r="18" ht="53" customHeight="1">
      <x:c r="A18" s="11" t="str">
        <x:v>中文与网页</x:v>
      </x:c>
      <x:c r="B18" s="11" t="str">
        <x:v>随包中文字体、加载进度、失败重试</x:v>
      </x:c>
      <x:c r="C18" s="11" t="str">
        <x:v>Windows 和浏览器均能看懂配置与任务</x:v>
      </x:c>
      <x:c r="D18" s="11" t="str">
        <x:v>检查中文缺字、资源加载失败、首次启动和窗口失焦暂停</x:v>
      </x:c>
      <x:c r="E18" s="11" t="str">
        <x:v>已实现基础适配</x:v>
      </x:c>
      <x:c r="F18" s="11" t="str"/>
      <x:c r="G18" s="11" t="str">
        <x:v>S1、S8</x:v>
      </x:c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2"/>
      <x:c r="C20" s="2"/>
      <x:c r="D20" s="2"/>
      <x:c r="E20" s="2"/>
      <x:c r="F20" s="2"/>
      <x:c r="G2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.5" hidden="0" customWidth="1"/>
    <x:col min="2" max="2" width="16.25" hidden="0" customWidth="1"/>
    <x:col min="3" max="3" width="19.3799991607666" hidden="0" customWidth="1"/>
    <x:col min="4" max="4" width="9.380000114440918" hidden="0" customWidth="1"/>
    <x:col min="5" max="5" width="16.8799991607666" hidden="0" customWidth="1"/>
    <x:col min="6" max="6" width="38.75" hidden="0" customWidth="1"/>
    <x:col min="7" max="7" width="36.25" hidden="0" customWidth="1"/>
    <x:col min="8" max="8" width="21.25" hidden="0" customWidth="1"/>
    <x:col min="9" max="9" width="11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资源订单、交付规范与验收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5" t="str">
        <x:v>数量为制作订单的范围估算，不代表现有文件数。具体帧数/分辨率在 M1 样板实测后冻结。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9" t="str">
        <x:v>资源 ID</x:v>
      </x:c>
      <x:c r="B6" s="9" t="str">
        <x:v>对象</x:v>
      </x:c>
      <x:c r="C6" s="9" t="str">
        <x:v>制作内容</x:v>
      </x:c>
      <x:c r="D6" s="9" t="str">
        <x:v>单元数</x:v>
      </x:c>
      <x:c r="E6" s="9" t="str">
        <x:v>建议岗位</x:v>
      </x:c>
      <x:c r="F6" s="9" t="str">
        <x:v>制作限制与验收</x:v>
      </x:c>
      <x:c r="G6" s="9" t="str">
        <x:v>交付物</x:v>
      </x:c>
      <x:c r="H6" s="9" t="str">
        <x:v>当前状态</x:v>
      </x:c>
      <x:c r="I6" s="9" t="str">
        <x:v>任务</x:v>
      </x:c>
    </x:row>
    <x:row r="7" ht="68" customHeight="1">
      <x:c r="A7" s="12" t="str">
        <x:v>CHR-1-A</x:v>
      </x:c>
      <x:c r="B7" s="12" t="str">
        <x:v>突击兵</x:v>
      </x:c>
      <x:c r="C7" s="12" t="str">
        <x:v>待机/移动/跳跃</x:v>
      </x:c>
      <x:c r="D7" s="12" t="n">
        <x:v>3</x:v>
      </x:c>
      <x:c r="E7" s="12" t="str">
        <x:v>动画/技术美术</x:v>
      </x:c>
      <x:c r="F7" s="12" t="str">
        <x:v>复用骨架节奏但不能抹掉职业剪影</x:v>
      </x:c>
      <x:c r="G7" s="12" t="str">
        <x:v>源文件、透明贴图、接入 Prefab、演示视频</x:v>
      </x:c>
      <x:c r="H7" s="12" t="str">
        <x:v>已有基础，深化待制作</x:v>
      </x:c>
      <x:c r="I7" s="12" t="str">
        <x:v>W07</x:v>
      </x:c>
    </x:row>
    <x:row r="8" ht="68" customHeight="1">
      <x:c r="A8" s="11" t="str">
        <x:v>CHR-1-B</x:v>
      </x:c>
      <x:c r="B8" s="11" t="str">
        <x:v>突击兵</x:v>
      </x:c>
      <x:c r="C8" s="11" t="str">
        <x:v>受击/死亡/施法</x:v>
      </x:c>
      <x:c r="D8" s="11" t="n">
        <x:v>3</x:v>
      </x:c>
      <x:c r="E8" s="11" t="str">
        <x:v>动画/技术美术</x:v>
      </x:c>
      <x:c r="F8" s="11" t="str">
        <x:v>受击与无敌反馈区分；死亡后不保留施法效果</x:v>
      </x:c>
      <x:c r="G8" s="11" t="str">
        <x:v>源文件、透明贴图、接入 Prefab、演示视频</x:v>
      </x:c>
      <x:c r="H8" s="11" t="str">
        <x:v>已有基础，深化待制作</x:v>
      </x:c>
      <x:c r="I8" s="11" t="str">
        <x:v>W07</x:v>
      </x:c>
    </x:row>
    <x:row r="9" ht="68" customHeight="1">
      <x:c r="A9" s="12" t="str">
        <x:v>CHR-2-A</x:v>
      </x:c>
      <x:c r="B9" s="12" t="str">
        <x:v>医疗兵</x:v>
      </x:c>
      <x:c r="C9" s="12" t="str">
        <x:v>待机/移动/跳跃</x:v>
      </x:c>
      <x:c r="D9" s="12" t="n">
        <x:v>3</x:v>
      </x:c>
      <x:c r="E9" s="12" t="str">
        <x:v>动画/技术美术</x:v>
      </x:c>
      <x:c r="F9" s="12" t="str">
        <x:v>复用骨架节奏但不能抹掉职业剪影</x:v>
      </x:c>
      <x:c r="G9" s="12" t="str">
        <x:v>源文件、透明贴图、接入 Prefab、演示视频</x:v>
      </x:c>
      <x:c r="H9" s="12" t="str">
        <x:v>已有基础，深化待制作</x:v>
      </x:c>
      <x:c r="I9" s="12" t="str">
        <x:v>W07</x:v>
      </x:c>
    </x:row>
    <x:row r="10" ht="68" customHeight="1">
      <x:c r="A10" s="11" t="str">
        <x:v>CHR-2-B</x:v>
      </x:c>
      <x:c r="B10" s="11" t="str">
        <x:v>医疗兵</x:v>
      </x:c>
      <x:c r="C10" s="11" t="str">
        <x:v>受击/死亡/施法</x:v>
      </x:c>
      <x:c r="D10" s="11" t="n">
        <x:v>3</x:v>
      </x:c>
      <x:c r="E10" s="11" t="str">
        <x:v>动画/技术美术</x:v>
      </x:c>
      <x:c r="F10" s="11" t="str">
        <x:v>受击与无敌反馈区分；死亡后不保留施法效果</x:v>
      </x:c>
      <x:c r="G10" s="11" t="str">
        <x:v>源文件、透明贴图、接入 Prefab、演示视频</x:v>
      </x:c>
      <x:c r="H10" s="11" t="str">
        <x:v>已有基础，深化待制作</x:v>
      </x:c>
      <x:c r="I10" s="11" t="str">
        <x:v>W07</x:v>
      </x:c>
    </x:row>
    <x:row r="11" ht="68" customHeight="1">
      <x:c r="A11" s="12" t="str">
        <x:v>CHR-3-A</x:v>
      </x:c>
      <x:c r="B11" s="12" t="str">
        <x:v>工程师</x:v>
      </x:c>
      <x:c r="C11" s="12" t="str">
        <x:v>待机/移动/跳跃</x:v>
      </x:c>
      <x:c r="D11" s="12" t="n">
        <x:v>3</x:v>
      </x:c>
      <x:c r="E11" s="12" t="str">
        <x:v>动画/技术美术</x:v>
      </x:c>
      <x:c r="F11" s="12" t="str">
        <x:v>复用骨架节奏但不能抹掉职业剪影</x:v>
      </x:c>
      <x:c r="G11" s="12" t="str">
        <x:v>源文件、透明贴图、接入 Prefab、演示视频</x:v>
      </x:c>
      <x:c r="H11" s="12" t="str">
        <x:v>已有基础，深化待制作</x:v>
      </x:c>
      <x:c r="I11" s="12" t="str">
        <x:v>W07</x:v>
      </x:c>
    </x:row>
    <x:row r="12" ht="68" customHeight="1">
      <x:c r="A12" s="11" t="str">
        <x:v>CHR-3-B</x:v>
      </x:c>
      <x:c r="B12" s="11" t="str">
        <x:v>工程师</x:v>
      </x:c>
      <x:c r="C12" s="11" t="str">
        <x:v>受击/死亡/施法</x:v>
      </x:c>
      <x:c r="D12" s="11" t="n">
        <x:v>3</x:v>
      </x:c>
      <x:c r="E12" s="11" t="str">
        <x:v>动画/技术美术</x:v>
      </x:c>
      <x:c r="F12" s="11" t="str">
        <x:v>受击与无敌反馈区分；死亡后不保留施法效果</x:v>
      </x:c>
      <x:c r="G12" s="11" t="str">
        <x:v>源文件、透明贴图、接入 Prefab、演示视频</x:v>
      </x:c>
      <x:c r="H12" s="11" t="str">
        <x:v>已有基础，深化待制作</x:v>
      </x:c>
      <x:c r="I12" s="11" t="str">
        <x:v>W07</x:v>
      </x:c>
    </x:row>
    <x:row r="13" ht="68" customHeight="1">
      <x:c r="A13" s="12" t="str">
        <x:v>CHR-4-A</x:v>
      </x:c>
      <x:c r="B13" s="12" t="str">
        <x:v>侦察兵</x:v>
      </x:c>
      <x:c r="C13" s="12" t="str">
        <x:v>待机/移动/跳跃</x:v>
      </x:c>
      <x:c r="D13" s="12" t="n">
        <x:v>3</x:v>
      </x:c>
      <x:c r="E13" s="12" t="str">
        <x:v>动画/技术美术</x:v>
      </x:c>
      <x:c r="F13" s="12" t="str">
        <x:v>复用骨架节奏但不能抹掉职业剪影</x:v>
      </x:c>
      <x:c r="G13" s="12" t="str">
        <x:v>源文件、透明贴图、接入 Prefab、演示视频</x:v>
      </x:c>
      <x:c r="H13" s="12" t="str">
        <x:v>已有基础，深化待制作</x:v>
      </x:c>
      <x:c r="I13" s="12" t="str">
        <x:v>W07</x:v>
      </x:c>
    </x:row>
    <x:row r="14" ht="68" customHeight="1">
      <x:c r="A14" s="11" t="str">
        <x:v>CHR-4-B</x:v>
      </x:c>
      <x:c r="B14" s="11" t="str">
        <x:v>侦察兵</x:v>
      </x:c>
      <x:c r="C14" s="11" t="str">
        <x:v>受击/死亡/施法</x:v>
      </x:c>
      <x:c r="D14" s="11" t="n">
        <x:v>3</x:v>
      </x:c>
      <x:c r="E14" s="11" t="str">
        <x:v>动画/技术美术</x:v>
      </x:c>
      <x:c r="F14" s="11" t="str">
        <x:v>受击与无敌反馈区分；死亡后不保留施法效果</x:v>
      </x:c>
      <x:c r="G14" s="11" t="str">
        <x:v>源文件、透明贴图、接入 Prefab、演示视频</x:v>
      </x:c>
      <x:c r="H14" s="11" t="str">
        <x:v>已有基础，深化待制作</x:v>
      </x:c>
      <x:c r="I14" s="11" t="str">
        <x:v>W07</x:v>
      </x:c>
    </x:row>
    <x:row r="15" ht="68" customHeight="1">
      <x:c r="A15" s="12" t="str">
        <x:v>WPN-1</x:v>
      </x:c>
      <x:c r="B15" s="12" t="str">
        <x:v>脉冲步枪</x:v>
      </x:c>
      <x:c r="C15" s="12" t="str">
        <x:v>枪体/火光/弹道</x:v>
      </x:c>
      <x:c r="D15" s="12" t="n">
        <x:v>3</x:v>
      </x:c>
      <x:c r="E15" s="12" t="str">
        <x:v>2D美术/特效</x:v>
      </x:c>
      <x:c r="F15" s="12" t="str">
        <x:v>右朝向；握持点、枪口点、后坐和镜像旋转对齐。</x:v>
      </x:c>
      <x:c r="G15" s="12" t="str">
        <x:v>透明图、导入设置、枪口对照截图</x:v>
      </x:c>
      <x:c r="H15" s="12" t="str">
        <x:v>已有基础，深化待制作</x:v>
      </x:c>
      <x:c r="I15" s="12" t="str">
        <x:v>W08</x:v>
      </x:c>
    </x:row>
    <x:row r="16" ht="68" customHeight="1">
      <x:c r="A16" s="11" t="str">
        <x:v>WPN-2</x:v>
      </x:c>
      <x:c r="B16" s="11" t="str">
        <x:v>裂片霰弹</x:v>
      </x:c>
      <x:c r="C16" s="11" t="str">
        <x:v>枪体/火光/弹道</x:v>
      </x:c>
      <x:c r="D16" s="11" t="n">
        <x:v>3</x:v>
      </x:c>
      <x:c r="E16" s="11" t="str">
        <x:v>2D美术/特效</x:v>
      </x:c>
      <x:c r="F16" s="11" t="str">
        <x:v>右朝向；握持点、枪口点、后坐和镜像旋转对齐。</x:v>
      </x:c>
      <x:c r="G16" s="11" t="str">
        <x:v>透明图、导入设置、枪口对照截图</x:v>
      </x:c>
      <x:c r="H16" s="11" t="str">
        <x:v>已有基础，深化待制作</x:v>
      </x:c>
      <x:c r="I16" s="11" t="str">
        <x:v>W08</x:v>
      </x:c>
    </x:row>
    <x:row r="17" ht="68" customHeight="1">
      <x:c r="A17" s="12" t="str">
        <x:v>WPN-3</x:v>
      </x:c>
      <x:c r="B17" s="12" t="str">
        <x:v>磁轨狙击枪</x:v>
      </x:c>
      <x:c r="C17" s="12" t="str">
        <x:v>枪体/火光/弹道</x:v>
      </x:c>
      <x:c r="D17" s="12" t="n">
        <x:v>3</x:v>
      </x:c>
      <x:c r="E17" s="12" t="str">
        <x:v>2D美术/特效</x:v>
      </x:c>
      <x:c r="F17" s="12" t="str">
        <x:v>右朝向；握持点、枪口点、后坐和镜像旋转对齐。</x:v>
      </x:c>
      <x:c r="G17" s="12" t="str">
        <x:v>透明图、导入设置、枪口对照截图</x:v>
      </x:c>
      <x:c r="H17" s="12" t="str">
        <x:v>已有基础，深化待制作</x:v>
      </x:c>
      <x:c r="I17" s="12" t="str">
        <x:v>W08</x:v>
      </x:c>
    </x:row>
    <x:row r="18" ht="68" customHeight="1">
      <x:c r="A18" s="11" t="str">
        <x:v>WPN-4</x:v>
      </x:c>
      <x:c r="B18" s="11" t="str">
        <x:v>重型机枪</x:v>
      </x:c>
      <x:c r="C18" s="11" t="str">
        <x:v>枪体/火光/弹道</x:v>
      </x:c>
      <x:c r="D18" s="11" t="n">
        <x:v>3</x:v>
      </x:c>
      <x:c r="E18" s="11" t="str">
        <x:v>2D美术/特效</x:v>
      </x:c>
      <x:c r="F18" s="11" t="str">
        <x:v>右朝向；握持点、枪口点、后坐和镜像旋转对齐。</x:v>
      </x:c>
      <x:c r="G18" s="11" t="str">
        <x:v>透明图、导入设置、枪口对照截图</x:v>
      </x:c>
      <x:c r="H18" s="11" t="str">
        <x:v>已有基础，深化待制作</x:v>
      </x:c>
      <x:c r="I18" s="11" t="str">
        <x:v>W08</x:v>
      </x:c>
    </x:row>
    <x:row r="19" ht="68" customHeight="1">
      <x:c r="A19" s="12" t="str">
        <x:v>WPN-5</x:v>
      </x:c>
      <x:c r="B19" s="12" t="str">
        <x:v>蜂群冲锋枪</x:v>
      </x:c>
      <x:c r="C19" s="12" t="str">
        <x:v>枪体/火光/弹道</x:v>
      </x:c>
      <x:c r="D19" s="12" t="n">
        <x:v>3</x:v>
      </x:c>
      <x:c r="E19" s="12" t="str">
        <x:v>2D美术/特效</x:v>
      </x:c>
      <x:c r="F19" s="12" t="str">
        <x:v>右朝向；握持点、枪口点、后坐和镜像旋转对齐。</x:v>
      </x:c>
      <x:c r="G19" s="12" t="str">
        <x:v>透明图、导入设置、枪口对照截图</x:v>
      </x:c>
      <x:c r="H19" s="12" t="str">
        <x:v>已有基础，深化待制作</x:v>
      </x:c>
      <x:c r="I19" s="12" t="str">
        <x:v>W08</x:v>
      </x:c>
    </x:row>
    <x:row r="20" ht="68" customHeight="1">
      <x:c r="A20" s="11" t="str">
        <x:v>VFX-01</x:v>
      </x:c>
      <x:c r="B20" s="11" t="str">
        <x:v>双枪</x:v>
      </x:c>
      <x:c r="C20" s="11" t="str">
        <x:v>施放/持续/结束</x:v>
      </x:c>
      <x:c r="D20" s="11" t="n">
        <x:v>3</x:v>
      </x:c>
      <x:c r="E20" s="11" t="str">
        <x:v>特效</x:v>
      </x:c>
      <x:c r="F20" s="11" t="str">
        <x:v>双枪口同时可见，技能结束清理副枪</x:v>
      </x:c>
      <x:c r="G20" s="11" t="str">
        <x:v>资源、持续时序、暂停对照录像</x:v>
      </x:c>
      <x:c r="H20" s="11" t="str">
        <x:v>已有基础，深化待制作</x:v>
      </x:c>
      <x:c r="I20" s="11" t="str">
        <x:v>W09</x:v>
      </x:c>
    </x:row>
    <x:row r="21" ht="68" customHeight="1">
      <x:c r="A21" s="12" t="str">
        <x:v>VFX-02</x:v>
      </x:c>
      <x:c r="B21" s="12" t="str">
        <x:v>治疗</x:v>
      </x:c>
      <x:c r="C21" s="12" t="str">
        <x:v>施放/持续/结束</x:v>
      </x:c>
      <x:c r="D21" s="12" t="n">
        <x:v>3</x:v>
      </x:c>
      <x:c r="E21" s="12" t="str">
        <x:v>特效</x:v>
      </x:c>
      <x:c r="F21" s="12" t="str">
        <x:v>绿色环和医疗十字，不遮挡攻击预警</x:v>
      </x:c>
      <x:c r="G21" s="12" t="str">
        <x:v>资源、持续时序、暂停对照录像</x:v>
      </x:c>
      <x:c r="H21" s="12" t="str">
        <x:v>已有基础，深化待制作</x:v>
      </x:c>
      <x:c r="I21" s="12" t="str">
        <x:v>W09</x:v>
      </x:c>
    </x:row>
    <x:row r="22" ht="68" customHeight="1">
      <x:c r="A22" s="11" t="str">
        <x:v>VFX-03</x:v>
      </x:c>
      <x:c r="B22" s="11" t="str">
        <x:v>炮台</x:v>
      </x:c>
      <x:c r="C22" s="11" t="str">
        <x:v>施放/持续/结束</x:v>
      </x:c>
      <x:c r="D22" s="11" t="n">
        <x:v>3</x:v>
      </x:c>
      <x:c r="E22" s="11" t="str">
        <x:v>特效</x:v>
      </x:c>
      <x:c r="F22" s="11" t="str">
        <x:v>部署网格、索敌转向与销毁效果一致</x:v>
      </x:c>
      <x:c r="G22" s="11" t="str">
        <x:v>资源、持续时序、暂停对照录像</x:v>
      </x:c>
      <x:c r="H22" s="11" t="str">
        <x:v>已有基础，深化待制作</x:v>
      </x:c>
      <x:c r="I22" s="11" t="str">
        <x:v>W09</x:v>
      </x:c>
    </x:row>
    <x:row r="23" ht="68" customHeight="1">
      <x:c r="A23" s="12" t="str">
        <x:v>VFX-04</x:v>
      </x:c>
      <x:c r="B23" s="12" t="str">
        <x:v>扫描</x:v>
      </x:c>
      <x:c r="C23" s="12" t="str">
        <x:v>施放/持续/结束</x:v>
      </x:c>
      <x:c r="D23" s="12" t="n">
        <x:v>3</x:v>
      </x:c>
      <x:c r="E23" s="12" t="str">
        <x:v>特效</x:v>
      </x:c>
      <x:c r="F23" s="12" t="str">
        <x:v>紫色锁定框与数字，移动目标跟随正确</x:v>
      </x:c>
      <x:c r="G23" s="12" t="str">
        <x:v>资源、持续时序、暂停对照录像</x:v>
      </x:c>
      <x:c r="H23" s="12" t="str">
        <x:v>已有基础，深化待制作</x:v>
      </x:c>
      <x:c r="I23" s="12" t="str">
        <x:v>W09</x:v>
      </x:c>
    </x:row>
    <x:row r="24" ht="68" customHeight="1">
      <x:c r="A24" s="11" t="str">
        <x:v>ENV-1</x:v>
      </x:c>
      <x:c r="B24" s="11" t="str">
        <x:v>霓雨下城</x:v>
      </x:c>
      <x:c r="C24" s="11" t="str">
        <x:v>背景/前景/任务标识</x:v>
      </x:c>
      <x:c r="D24" s="11" t="n">
        <x:v>3</x:v>
      </x:c>
      <x:c r="E24" s="11" t="str">
        <x:v>场景美术</x:v>
      </x:c>
      <x:c r="F24" s="11" t="str">
        <x:v>背景已有；重点修平台边缘、道具与背景分离，保持各关色调。</x:v>
      </x:c>
      <x:c r="G24" s="11" t="str">
        <x:v>分层源图、可编辑 Prefab、前景对比截图</x:v>
      </x:c>
      <x:c r="H24" s="11" t="str">
        <x:v>已有背景，可读性待验</x:v>
      </x:c>
      <x:c r="I24" s="11" t="str">
        <x:v>W14</x:v>
      </x:c>
    </x:row>
    <x:row r="25" ht="68" customHeight="1">
      <x:c r="A25" s="12" t="str">
        <x:v>ENV-2</x:v>
      </x:c>
      <x:c r="B25" s="12" t="str">
        <x:v>熔炉生产线</x:v>
      </x:c>
      <x:c r="C25" s="12" t="str">
        <x:v>背景/前景/任务标识</x:v>
      </x:c>
      <x:c r="D25" s="12" t="n">
        <x:v>3</x:v>
      </x:c>
      <x:c r="E25" s="12" t="str">
        <x:v>场景美术</x:v>
      </x:c>
      <x:c r="F25" s="12" t="str">
        <x:v>背景已有；重点修平台边缘、道具与背景分离，保持各关色调。</x:v>
      </x:c>
      <x:c r="G25" s="12" t="str">
        <x:v>分层源图、可编辑 Prefab、前景对比截图</x:v>
      </x:c>
      <x:c r="H25" s="12" t="str">
        <x:v>已有背景，可读性待验</x:v>
      </x:c>
      <x:c r="I25" s="12" t="str">
        <x:v>W14</x:v>
      </x:c>
    </x:row>
    <x:row r="26" ht="68" customHeight="1">
      <x:c r="A26" s="11" t="str">
        <x:v>ENV-3</x:v>
      </x:c>
      <x:c r="B26" s="11" t="str">
        <x:v>核心守卫</x:v>
      </x:c>
      <x:c r="C26" s="11" t="str">
        <x:v>背景/前景/任务标识</x:v>
      </x:c>
      <x:c r="D26" s="11" t="n">
        <x:v>3</x:v>
      </x:c>
      <x:c r="E26" s="11" t="str">
        <x:v>场景美术</x:v>
      </x:c>
      <x:c r="F26" s="11" t="str">
        <x:v>背景已有；重点修平台边缘、道具与背景分离，保持各关色调。</x:v>
      </x:c>
      <x:c r="G26" s="11" t="str">
        <x:v>分层源图、可编辑 Prefab、前景对比截图</x:v>
      </x:c>
      <x:c r="H26" s="11" t="str">
        <x:v>已有背景，可读性待验</x:v>
      </x:c>
      <x:c r="I26" s="11" t="str">
        <x:v>W14</x:v>
      </x:c>
    </x:row>
    <x:row r="27" ht="68" customHeight="1">
      <x:c r="A27" s="12" t="str">
        <x:v>ENV-4</x:v>
      </x:c>
      <x:c r="B27" s="12" t="str">
        <x:v>天线高塔</x:v>
      </x:c>
      <x:c r="C27" s="12" t="str">
        <x:v>背景/前景/任务标识</x:v>
      </x:c>
      <x:c r="D27" s="12" t="n">
        <x:v>3</x:v>
      </x:c>
      <x:c r="E27" s="12" t="str">
        <x:v>场景美术</x:v>
      </x:c>
      <x:c r="F27" s="12" t="str">
        <x:v>背景已有；重点修平台边缘、道具与背景分离，保持各关色调。</x:v>
      </x:c>
      <x:c r="G27" s="12" t="str">
        <x:v>分层源图、可编辑 Prefab、前景对比截图</x:v>
      </x:c>
      <x:c r="H27" s="12" t="str">
        <x:v>已有背景，可读性待验</x:v>
      </x:c>
      <x:c r="I27" s="12" t="str">
        <x:v>W14</x:v>
      </x:c>
    </x:row>
    <x:row r="28" ht="68" customHeight="1">
      <x:c r="A28" s="11" t="str">
        <x:v>ENV-5</x:v>
      </x:c>
      <x:c r="B28" s="11" t="str">
        <x:v>数据回收</x:v>
      </x:c>
      <x:c r="C28" s="11" t="str">
        <x:v>背景/前景/任务标识</x:v>
      </x:c>
      <x:c r="D28" s="11" t="n">
        <x:v>3</x:v>
      </x:c>
      <x:c r="E28" s="11" t="str">
        <x:v>场景美术</x:v>
      </x:c>
      <x:c r="F28" s="11" t="str">
        <x:v>背景已有；重点修平台边缘、道具与背景分离，保持各关色调。</x:v>
      </x:c>
      <x:c r="G28" s="11" t="str">
        <x:v>分层源图、可编辑 Prefab、前景对比截图</x:v>
      </x:c>
      <x:c r="H28" s="11" t="str">
        <x:v>已有背景，可读性待验</x:v>
      </x:c>
      <x:c r="I28" s="11" t="str">
        <x:v>W14</x:v>
      </x:c>
    </x:row>
    <x:row r="29" ht="68" customHeight="1">
      <x:c r="A29" s="12" t="str">
        <x:v>ENV-6</x:v>
      </x:c>
      <x:c r="B29" s="12" t="str">
        <x:v>配电迷阵</x:v>
      </x:c>
      <x:c r="C29" s="12" t="str">
        <x:v>背景/前景/任务标识</x:v>
      </x:c>
      <x:c r="D29" s="12" t="n">
        <x:v>3</x:v>
      </x:c>
      <x:c r="E29" s="12" t="str">
        <x:v>场景美术</x:v>
      </x:c>
      <x:c r="F29" s="12" t="str">
        <x:v>背景已有；重点修平台边缘、道具与背景分离，保持各关色调。</x:v>
      </x:c>
      <x:c r="G29" s="12" t="str">
        <x:v>分层源图、可编辑 Prefab、前景对比截图</x:v>
      </x:c>
      <x:c r="H29" s="12" t="str">
        <x:v>已有背景，可读性待验</x:v>
      </x:c>
      <x:c r="I29" s="12" t="str">
        <x:v>W14</x:v>
      </x:c>
    </x:row>
    <x:row r="30" ht="68" customHeight="1">
      <x:c r="A30" s="11" t="str">
        <x:v>ENV-7</x:v>
      </x:c>
      <x:c r="B30" s="11" t="str">
        <x:v>地下档案</x:v>
      </x:c>
      <x:c r="C30" s="11" t="str">
        <x:v>背景/前景/任务标识</x:v>
      </x:c>
      <x:c r="D30" s="11" t="n">
        <x:v>3</x:v>
      </x:c>
      <x:c r="E30" s="11" t="str">
        <x:v>场景美术</x:v>
      </x:c>
      <x:c r="F30" s="11" t="str">
        <x:v>背景已有；重点修平台边缘、道具与背景分离，保持各关色调。</x:v>
      </x:c>
      <x:c r="G30" s="11" t="str">
        <x:v>分层源图、可编辑 Prefab、前景对比截图</x:v>
      </x:c>
      <x:c r="H30" s="11" t="str">
        <x:v>已有背景，可读性待验</x:v>
      </x:c>
      <x:c r="I30" s="11" t="str">
        <x:v>W14</x:v>
      </x:c>
    </x:row>
    <x:row r="31" ht="68" customHeight="1">
      <x:c r="A31" s="12" t="str">
        <x:v>ENV-8</x:v>
      </x:c>
      <x:c r="B31" s="12" t="str">
        <x:v>中枢停机</x:v>
      </x:c>
      <x:c r="C31" s="12" t="str">
        <x:v>背景/前景/任务标识</x:v>
      </x:c>
      <x:c r="D31" s="12" t="n">
        <x:v>3</x:v>
      </x:c>
      <x:c r="E31" s="12" t="str">
        <x:v>场景美术</x:v>
      </x:c>
      <x:c r="F31" s="12" t="str">
        <x:v>背景已有；重点修平台边缘、道具与背景分离，保持各关色调。</x:v>
      </x:c>
      <x:c r="G31" s="12" t="str">
        <x:v>分层源图、可编辑 Prefab、前景对比截图</x:v>
      </x:c>
      <x:c r="H31" s="12" t="str">
        <x:v>已有背景，可读性待验</x:v>
      </x:c>
      <x:c r="I31" s="12" t="str">
        <x:v>W14</x:v>
      </x:c>
    </x:row>
    <x:row r="32" ht="68" customHeight="1">
      <x:c r="A32" s="11" t="str">
        <x:v>ENM-01</x:v>
      </x:c>
      <x:c r="B32" s="11" t="str">
        <x:v>三类普通敌人</x:v>
      </x:c>
      <x:c r="C32" s="11" t="str">
        <x:v>制作单元</x:v>
      </x:c>
      <x:c r="D32" s="11" t="n">
        <x:v>3</x:v>
      </x:c>
      <x:c r="E32" s="11" t="str">
        <x:v>美术/UI</x:v>
      </x:c>
      <x:c r="F32" s="11" t="str">
        <x:v>剪影各异，补射击前摇/受击/死亡</x:v>
      </x:c>
      <x:c r="G32" s="11" t="str">
        <x:v>可编辑源文件、引擎接入、许可与验收证据</x:v>
      </x:c>
      <x:c r="H32" s="11" t="str">
        <x:v>新增或深化方案</x:v>
      </x:c>
      <x:c r="I32" s="11" t="str">
        <x:v>W10</x:v>
      </x:c>
    </x:row>
    <x:row r="33" ht="68" customHeight="1">
      <x:c r="A33" s="12" t="str">
        <x:v>ENM-02</x:v>
      </x:c>
      <x:c r="B33" s="12" t="str">
        <x:v>两场 Boss</x:v>
      </x:c>
      <x:c r="C33" s="12" t="str">
        <x:v>制作单元</x:v>
      </x:c>
      <x:c r="D33" s="12" t="n">
        <x:v>2</x:v>
      </x:c>
      <x:c r="E33" s="12" t="str">
        <x:v>美术/UI</x:v>
      </x:c>
      <x:c r="F33" s="12" t="str">
        <x:v>共享基础外观可复用，阶段提示必须明确</x:v>
      </x:c>
      <x:c r="G33" s="12" t="str">
        <x:v>可编辑源文件、引擎接入、许可与验收证据</x:v>
      </x:c>
      <x:c r="H33" s="12" t="str">
        <x:v>新增或深化方案</x:v>
      </x:c>
      <x:c r="I33" s="12" t="str">
        <x:v>W10</x:v>
      </x:c>
    </x:row>
    <x:row r="34" ht="68" customHeight="1">
      <x:c r="A34" s="11" t="str">
        <x:v>UI-ART</x:v>
      </x:c>
      <x:c r="B34" s="11" t="str">
        <x:v>页面和 HUD</x:v>
      </x:c>
      <x:c r="C34" s="11" t="str">
        <x:v>制作单元</x:v>
      </x:c>
      <x:c r="D34" s="11" t="n">
        <x:v>8</x:v>
      </x:c>
      <x:c r="E34" s="11" t="str">
        <x:v>美术/UI</x:v>
      </x:c>
      <x:c r="F34" s="11" t="str">
        <x:v>首页、三选择页、HUD、补给、暂停、结算</x:v>
      </x:c>
      <x:c r="G34" s="11" t="str">
        <x:v>可编辑源文件、引擎接入、许可与验收证据</x:v>
      </x:c>
      <x:c r="H34" s="11" t="str">
        <x:v>新增或深化方案</x:v>
      </x:c>
      <x:c r="I34" s="11" t="str">
        <x:v>W10</x:v>
      </x:c>
    </x:row>
    <x:row r="35" ht="68" customHeight="1">
      <x:c r="A35" s="12" t="str">
        <x:v>SFX-01</x:v>
      </x:c>
      <x:c r="B35" s="12" t="str">
        <x:v>职业技能音效</x:v>
      </x:c>
      <x:c r="C35" s="12" t="str">
        <x:v>制作单元</x:v>
      </x:c>
      <x:c r="D35" s="12" t="n">
        <x:v>4</x:v>
      </x:c>
      <x:c r="E35" s="12" t="str">
        <x:v>音频</x:v>
      </x:c>
      <x:c r="F35" s="12" t="str">
        <x:v>各技能施放可区分，暂停后无残留循环</x:v>
      </x:c>
      <x:c r="G35" s="12" t="str">
        <x:v>可编辑源文件、引擎接入、许可与验收证据</x:v>
      </x:c>
      <x:c r="H35" s="12" t="str">
        <x:v>新增或深化方案</x:v>
      </x:c>
      <x:c r="I35" s="12" t="str">
        <x:v>W12</x:v>
      </x:c>
    </x:row>
    <x:row r="36" ht="68" customHeight="1">
      <x:c r="A36" s="11" t="str">
        <x:v>SFX-02</x:v>
      </x:c>
      <x:c r="B36" s="11" t="str">
        <x:v>战斗/任务音效</x:v>
      </x:c>
      <x:c r="C36" s="11" t="str">
        <x:v>制作单元</x:v>
      </x:c>
      <x:c r="D36" s="11" t="n">
        <x:v>6</x:v>
      </x:c>
      <x:c r="E36" s="11" t="str">
        <x:v>音频</x:v>
      </x:c>
      <x:c r="F36" s="11" t="str">
        <x:v>命中、受击、升级、门解锁、机关正确/错误</x:v>
      </x:c>
      <x:c r="G36" s="11" t="str">
        <x:v>可编辑源文件、引擎接入、许可与验收证据</x:v>
      </x:c>
      <x:c r="H36" s="11" t="str">
        <x:v>新增或深化方案</x:v>
      </x:c>
      <x:c r="I36" s="11" t="str">
        <x:v>W12</x:v>
      </x:c>
    </x:row>
    <x:row r="37" ht="68" customHeight="1">
      <x:c r="A37" s="12" t="str">
        <x:v>MUS-01</x:v>
      </x:c>
      <x:c r="B37" s="12" t="str">
        <x:v>音乐段落</x:v>
      </x:c>
      <x:c r="C37" s="12" t="str">
        <x:v>制作单元</x:v>
      </x:c>
      <x:c r="D37" s="12" t="n">
        <x:v>3</x:v>
      </x:c>
      <x:c r="E37" s="12" t="str">
        <x:v>音频</x:v>
      </x:c>
      <x:c r="F37" s="12" t="str">
        <x:v>探索、Boss、结算；循环接缝与音量不盖过提示</x:v>
      </x:c>
      <x:c r="G37" s="12" t="str">
        <x:v>可编辑源文件、引擎接入、许可与验收证据</x:v>
      </x:c>
      <x:c r="H37" s="12" t="str">
        <x:v>新增或深化方案</x:v>
      </x:c>
      <x:c r="I37" s="12" t="str">
        <x:v>W12</x:v>
      </x:c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14" t="str">
        <x:v>统一资源入库标准</x:v>
      </x:c>
      <x:c r="B40" s="13"/>
      <x:c r="C40" s="13"/>
      <x:c r="D40" s="13"/>
      <x:c r="E40" s="13"/>
      <x:c r="F40" s="13"/>
      <x:c r="G40" s="13"/>
      <x:c r="H40" s="13"/>
      <x:c r="I40" s="13"/>
    </x:row>
    <x:row r="41" ht="32" customHeight="1">
      <x:c r="A41" s="9" t="str">
        <x:v>编号</x:v>
      </x:c>
      <x:c r="B41" s="9" t="str">
        <x:v>要求</x:v>
      </x:c>
      <x:c r="C41" s="9"/>
      <x:c r="D41" s="9"/>
      <x:c r="E41" s="9" t="str">
        <x:v>提交前检查</x:v>
      </x:c>
      <x:c r="F41" s="9"/>
      <x:c r="G41" s="9" t="str">
        <x:v>签收条件</x:v>
      </x:c>
      <x:c r="H41" s="9"/>
      <x:c r="I41" s="9"/>
    </x:row>
    <x:row r="42" ht="66" customHeight="1">
      <x:c r="A42" s="12" t="str">
        <x:v>ART-01</x:v>
      </x:c>
      <x:c r="B42" s="12" t="str">
        <x:v>所有像素贴图保留源文件，透明边界干净，按当前资源的 Point 采样规范导入。</x:v>
      </x:c>
      <x:c r="C42" s="12"/>
      <x:c r="D42" s="12"/>
      <x:c r="E42" s="12" t="str">
        <x:v>在目标分辨率预览；平台与弹幕不混色；不以压缩伪影换包体。</x:v>
      </x:c>
      <x:c r="F42" s="12"/>
      <x:c r="G42" s="12" t="str">
        <x:v>美术确认外观，程序确认实际使用的资源与 GUID。</x:v>
      </x:c>
      <x:c r="H42" s="12"/>
      <x:c r="I42" s="12"/>
    </x:row>
    <x:row r="43" ht="66" customHeight="1">
      <x:c r="A43" s="11" t="str">
        <x:v>ART-02</x:v>
      </x:c>
      <x:c r="B43" s="11" t="str">
        <x:v>人物、枪械使用统一参照比例，握持点和实际枪口要给定位说明。</x:v>
      </x:c>
      <x:c r="C43" s="11"/>
      <x:c r="D43" s="11"/>
      <x:c r="E43" s="11" t="str">
        <x:v>左右、上下和斜向，1200×900 与 1600×900 均截图。</x:v>
      </x:c>
      <x:c r="F43" s="11"/>
      <x:c r="G43" s="11" t="str">
        <x:v>持枪不脱手，特效不随错误旋转中心飞出画面。</x:v>
      </x:c>
      <x:c r="H43" s="11"/>
      <x:c r="I43" s="11"/>
    </x:row>
    <x:row r="44" ht="66" customHeight="1">
      <x:c r="A44" s="12" t="str">
        <x:v>ART-03</x:v>
      </x:c>
      <x:c r="B44" s="12" t="str">
        <x:v>音频建议以无损母带交付，运行格式/音量上限在 M1 确认。</x:v>
      </x:c>
      <x:c r="C44" s="12"/>
      <x:c r="D44" s="12"/>
      <x:c r="E44" s="12" t="str">
        <x:v>循环无爆音、峰值不削波，技能音效与 UI 音效不相互淹没。</x:v>
      </x:c>
      <x:c r="F44" s="12"/>
      <x:c r="G44" s="12" t="str">
        <x:v>音频接入到真实事件，不只在资源目录中存在。</x:v>
      </x:c>
      <x:c r="H44" s="12"/>
      <x:c r="I44" s="12"/>
    </x:row>
    <x:row r="45" ht="66" customHeight="1">
      <x:c r="A45" s="11" t="str">
        <x:v>ART-04</x:v>
      </x:c>
      <x:c r="B45" s="11" t="str">
        <x:v>第三方资源记录作者、来源、版本、许可与修改；原创和生成资产记录来源。</x:v>
      </x:c>
      <x:c r="C45" s="11"/>
      <x:c r="D45" s="11"/>
      <x:c r="E45" s="11" t="str">
        <x:v>不得把参考游戏原角色或商标直接当交付资产。</x:v>
      </x:c>
      <x:c r="F45" s="11"/>
      <x:c r="G45" s="11" t="str">
        <x:v>发布清单能追溯每项来源，缺失许可不得签收。</x:v>
      </x:c>
      <x:c r="H45" s="11"/>
      <x:c r="I45" s="11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8" customHeight="1">
      <x:c r="A48" s="14" t="str">
        <x:v>当前图片规格基线</x:v>
      </x:c>
      <x:c r="B48" s="13"/>
      <x:c r="C48" s="13"/>
      <x:c r="D48" s="13"/>
      <x:c r="E48" s="13"/>
      <x:c r="F48" s="13"/>
      <x:c r="G48" s="13"/>
      <x:c r="H48" s="13"/>
      <x:c r="I48" s="13"/>
    </x:row>
    <x:row r="49" ht="32" customHeight="1">
      <x:c r="A49" s="9" t="str">
        <x:v>现有文件</x:v>
      </x:c>
      <x:c r="B49" s="9"/>
      <x:c r="C49" s="9"/>
      <x:c r="D49" s="9" t="str">
        <x:v>宽像素</x:v>
      </x:c>
      <x:c r="E49" s="9" t="str">
        <x:v>高像素</x:v>
      </x:c>
      <x:c r="F49" s="9" t="str">
        <x:v>性质</x:v>
      </x:c>
      <x:c r="G49" s="9" t="str">
        <x:v>改动约束</x:v>
      </x:c>
      <x:c r="H49" s="9"/>
      <x:c r="I49" s="9"/>
    </x:row>
    <x:row r="50" ht="44" customHeight="1">
      <x:c r="A50" s="12" t="str">
        <x:v>Catwalk.png</x:v>
      </x:c>
      <x:c r="B50" s="12"/>
      <x:c r="C50" s="12"/>
      <x:c r="D50" s="12" t="n">
        <x:v>64</x:v>
      </x:c>
      <x:c r="E50" s="12" t="n">
        <x:v>16</x:v>
      </x:c>
      <x:c r="F50" s="12" t="str">
        <x:v>当前持久PNG</x:v>
      </x:c>
      <x:c r="G50" s="12" t="str">
        <x:v>先沿用尺寸与拼装参照，改变比例前回归持枪和碰撞可读性。</x:v>
      </x:c>
      <x:c r="H50" s="12"/>
      <x:c r="I50" s="12"/>
    </x:row>
    <x:row r="51" ht="44" customHeight="1">
      <x:c r="A51" s="11" t="str">
        <x:v>Drone.png</x:v>
      </x:c>
      <x:c r="B51" s="11"/>
      <x:c r="C51" s="11"/>
      <x:c r="D51" s="11" t="n">
        <x:v>64</x:v>
      </x:c>
      <x:c r="E51" s="11" t="n">
        <x:v>28</x:v>
      </x:c>
      <x:c r="F51" s="11" t="str">
        <x:v>当前持久PNG</x:v>
      </x:c>
      <x:c r="G51" s="11" t="str">
        <x:v>先沿用尺寸与拼装参照，改变比例前回归持枪和碰撞可读性。</x:v>
      </x:c>
      <x:c r="H51" s="11"/>
      <x:c r="I51" s="11"/>
    </x:row>
    <x:row r="52" ht="44" customHeight="1">
      <x:c r="A52" s="12" t="str">
        <x:v>Guard-Head.png</x:v>
      </x:c>
      <x:c r="B52" s="12"/>
      <x:c r="C52" s="12"/>
      <x:c r="D52" s="12" t="n">
        <x:v>24</x:v>
      </x:c>
      <x:c r="E52" s="12" t="n">
        <x:v>24</x:v>
      </x:c>
      <x:c r="F52" s="12" t="str">
        <x:v>当前持久PNG</x:v>
      </x:c>
      <x:c r="G52" s="12" t="str">
        <x:v>先沿用尺寸与拼装参照，改变比例前回归持枪和碰撞可读性。</x:v>
      </x:c>
      <x:c r="H52" s="12"/>
      <x:c r="I52" s="12"/>
    </x:row>
    <x:row r="53" ht="44" customHeight="1">
      <x:c r="A53" s="11" t="str">
        <x:v>Guard-Torso.png</x:v>
      </x:c>
      <x:c r="B53" s="11"/>
      <x:c r="C53" s="11"/>
      <x:c r="D53" s="11" t="n">
        <x:v>32</x:v>
      </x:c>
      <x:c r="E53" s="11" t="n">
        <x:v>40</x:v>
      </x:c>
      <x:c r="F53" s="11" t="str">
        <x:v>当前持久PNG</x:v>
      </x:c>
      <x:c r="G53" s="11" t="str">
        <x:v>先沿用尺寸与拼装参照，改变比例前回归持枪和碰撞可读性。</x:v>
      </x:c>
      <x:c r="H53" s="11"/>
      <x:c r="I53" s="11"/>
    </x:row>
    <x:row r="54" ht="44" customHeight="1">
      <x:c r="A54" s="12" t="str">
        <x:v>Gun0.png</x:v>
      </x:c>
      <x:c r="B54" s="12"/>
      <x:c r="C54" s="12"/>
      <x:c r="D54" s="12" t="n">
        <x:v>80</x:v>
      </x:c>
      <x:c r="E54" s="12" t="n">
        <x:v>28</x:v>
      </x:c>
      <x:c r="F54" s="12" t="str">
        <x:v>当前持久PNG</x:v>
      </x:c>
      <x:c r="G54" s="12" t="str">
        <x:v>先沿用尺寸与拼装参照，改变比例前回归持枪和碰撞可读性。</x:v>
      </x:c>
      <x:c r="H54" s="12"/>
      <x:c r="I54" s="12"/>
    </x:row>
    <x:row r="55" ht="44" customHeight="1">
      <x:c r="A55" s="11" t="str">
        <x:v>Gun1.png</x:v>
      </x:c>
      <x:c r="B55" s="11"/>
      <x:c r="C55" s="11"/>
      <x:c r="D55" s="11" t="n">
        <x:v>88</x:v>
      </x:c>
      <x:c r="E55" s="11" t="n">
        <x:v>32</x:v>
      </x:c>
      <x:c r="F55" s="11" t="str">
        <x:v>当前持久PNG</x:v>
      </x:c>
      <x:c r="G55" s="11" t="str">
        <x:v>先沿用尺寸与拼装参照，改变比例前回归持枪和碰撞可读性。</x:v>
      </x:c>
      <x:c r="H55" s="11"/>
      <x:c r="I55" s="11"/>
    </x:row>
    <x:row r="56" ht="44" customHeight="1">
      <x:c r="A56" s="12" t="str">
        <x:v>Gun2.png</x:v>
      </x:c>
      <x:c r="B56" s="12"/>
      <x:c r="C56" s="12"/>
      <x:c r="D56" s="12" t="n">
        <x:v>112</x:v>
      </x:c>
      <x:c r="E56" s="12" t="n">
        <x:v>28</x:v>
      </x:c>
      <x:c r="F56" s="12" t="str">
        <x:v>当前持久PNG</x:v>
      </x:c>
      <x:c r="G56" s="12" t="str">
        <x:v>先沿用尺寸与拼装参照，改变比例前回归持枪和碰撞可读性。</x:v>
      </x:c>
      <x:c r="H56" s="12"/>
      <x:c r="I56" s="12"/>
    </x:row>
    <x:row r="57" ht="44" customHeight="1">
      <x:c r="A57" s="11" t="str">
        <x:v>Gun3.png</x:v>
      </x:c>
      <x:c r="B57" s="11"/>
      <x:c r="C57" s="11"/>
      <x:c r="D57" s="11" t="n">
        <x:v>96</x:v>
      </x:c>
      <x:c r="E57" s="11" t="n">
        <x:v>32</x:v>
      </x:c>
      <x:c r="F57" s="11" t="str">
        <x:v>当前持久PNG</x:v>
      </x:c>
      <x:c r="G57" s="11" t="str">
        <x:v>先沿用尺寸与拼装参照，改变比例前回归持枪和碰撞可读性。</x:v>
      </x:c>
      <x:c r="H57" s="11"/>
      <x:c r="I57" s="11"/>
    </x:row>
    <x:row r="58" ht="44" customHeight="1">
      <x:c r="A58" s="12" t="str">
        <x:v>Gun4.png</x:v>
      </x:c>
      <x:c r="B58" s="12"/>
      <x:c r="C58" s="12"/>
      <x:c r="D58" s="12" t="n">
        <x:v>64</x:v>
      </x:c>
      <x:c r="E58" s="12" t="n">
        <x:v>32</x:v>
      </x:c>
      <x:c r="F58" s="12" t="str">
        <x:v>当前持久PNG</x:v>
      </x:c>
      <x:c r="G58" s="12" t="str">
        <x:v>先沿用尺寸与拼装参照，改变比例前回归持枪和碰撞可读性。</x:v>
      </x:c>
      <x:c r="H58" s="12"/>
      <x:c r="I58" s="12"/>
    </x:row>
    <x:row r="59" ht="44" customHeight="1">
      <x:c r="A59" s="11" t="str">
        <x:v>PlacementSquare.png</x:v>
      </x:c>
      <x:c r="B59" s="11"/>
      <x:c r="C59" s="11"/>
      <x:c r="D59" s="11" t="n">
        <x:v>8</x:v>
      </x:c>
      <x:c r="E59" s="11" t="n">
        <x:v>8</x:v>
      </x:c>
      <x:c r="F59" s="11" t="str">
        <x:v>当前持久PNG</x:v>
      </x:c>
      <x:c r="G59" s="11" t="str">
        <x:v>先沿用尺寸与拼装参照，改变比例前回归持枪和碰撞可读性。</x:v>
      </x:c>
      <x:c r="H59" s="11"/>
      <x:c r="I59" s="11"/>
    </x:row>
    <x:row r="60" ht="44" customHeight="1">
      <x:c r="A60" s="12" t="str">
        <x:v>Role0-Head.png</x:v>
      </x:c>
      <x:c r="B60" s="12"/>
      <x:c r="C60" s="12"/>
      <x:c r="D60" s="12" t="n">
        <x:v>24</x:v>
      </x:c>
      <x:c r="E60" s="12" t="n">
        <x:v>24</x:v>
      </x:c>
      <x:c r="F60" s="12" t="str">
        <x:v>当前持久PNG</x:v>
      </x:c>
      <x:c r="G60" s="12" t="str">
        <x:v>先沿用尺寸与拼装参照，改变比例前回归持枪和碰撞可读性。</x:v>
      </x:c>
      <x:c r="H60" s="12"/>
      <x:c r="I60" s="12"/>
    </x:row>
    <x:row r="61" ht="44" customHeight="1">
      <x:c r="A61" s="11" t="str">
        <x:v>Role0-Preview.png</x:v>
      </x:c>
      <x:c r="B61" s="11"/>
      <x:c r="C61" s="11"/>
      <x:c r="D61" s="11" t="n">
        <x:v>32</x:v>
      </x:c>
      <x:c r="E61" s="11" t="n">
        <x:v>40</x:v>
      </x:c>
      <x:c r="F61" s="11" t="str">
        <x:v>当前持久PNG</x:v>
      </x:c>
      <x:c r="G61" s="11" t="str">
        <x:v>先沿用尺寸与拼装参照，改变比例前回归持枪和碰撞可读性。</x:v>
      </x:c>
      <x:c r="H61" s="11"/>
      <x:c r="I61" s="11"/>
    </x:row>
    <x:row r="62" ht="44" customHeight="1">
      <x:c r="A62" s="12" t="str">
        <x:v>Role0-Torso.png</x:v>
      </x:c>
      <x:c r="B62" s="12"/>
      <x:c r="C62" s="12"/>
      <x:c r="D62" s="12" t="n">
        <x:v>32</x:v>
      </x:c>
      <x:c r="E62" s="12" t="n">
        <x:v>40</x:v>
      </x:c>
      <x:c r="F62" s="12" t="str">
        <x:v>当前持久PNG</x:v>
      </x:c>
      <x:c r="G62" s="12" t="str">
        <x:v>先沿用尺寸与拼装参照，改变比例前回归持枪和碰撞可读性。</x:v>
      </x:c>
      <x:c r="H62" s="12"/>
      <x:c r="I62" s="12"/>
    </x:row>
    <x:row r="63" ht="44" customHeight="1">
      <x:c r="A63" s="11" t="str">
        <x:v>Role1-Head.png</x:v>
      </x:c>
      <x:c r="B63" s="11"/>
      <x:c r="C63" s="11"/>
      <x:c r="D63" s="11" t="n">
        <x:v>24</x:v>
      </x:c>
      <x:c r="E63" s="11" t="n">
        <x:v>24</x:v>
      </x:c>
      <x:c r="F63" s="11" t="str">
        <x:v>当前持久PNG</x:v>
      </x:c>
      <x:c r="G63" s="11" t="str">
        <x:v>先沿用尺寸与拼装参照，改变比例前回归持枪和碰撞可读性。</x:v>
      </x:c>
      <x:c r="H63" s="11"/>
      <x:c r="I63" s="11"/>
    </x:row>
    <x:row r="64" ht="44" customHeight="1">
      <x:c r="A64" s="12" t="str">
        <x:v>Role1-Preview.png</x:v>
      </x:c>
      <x:c r="B64" s="12"/>
      <x:c r="C64" s="12"/>
      <x:c r="D64" s="12" t="n">
        <x:v>32</x:v>
      </x:c>
      <x:c r="E64" s="12" t="n">
        <x:v>40</x:v>
      </x:c>
      <x:c r="F64" s="12" t="str">
        <x:v>当前持久PNG</x:v>
      </x:c>
      <x:c r="G64" s="12" t="str">
        <x:v>先沿用尺寸与拼装参照，改变比例前回归持枪和碰撞可读性。</x:v>
      </x:c>
      <x:c r="H64" s="12"/>
      <x:c r="I64" s="12"/>
    </x:row>
    <x:row r="65" ht="44" customHeight="1">
      <x:c r="A65" s="11" t="str">
        <x:v>Role1-Torso.png</x:v>
      </x:c>
      <x:c r="B65" s="11"/>
      <x:c r="C65" s="11"/>
      <x:c r="D65" s="11" t="n">
        <x:v>32</x:v>
      </x:c>
      <x:c r="E65" s="11" t="n">
        <x:v>40</x:v>
      </x:c>
      <x:c r="F65" s="11" t="str">
        <x:v>当前持久PNG</x:v>
      </x:c>
      <x:c r="G65" s="11" t="str">
        <x:v>先沿用尺寸与拼装参照，改变比例前回归持枪和碰撞可读性。</x:v>
      </x:c>
      <x:c r="H65" s="11"/>
      <x:c r="I65" s="11"/>
    </x:row>
    <x:row r="66" ht="44" customHeight="1">
      <x:c r="A66" s="12" t="str">
        <x:v>Role2-Head.png</x:v>
      </x:c>
      <x:c r="B66" s="12"/>
      <x:c r="C66" s="12"/>
      <x:c r="D66" s="12" t="n">
        <x:v>24</x:v>
      </x:c>
      <x:c r="E66" s="12" t="n">
        <x:v>24</x:v>
      </x:c>
      <x:c r="F66" s="12" t="str">
        <x:v>当前持久PNG</x:v>
      </x:c>
      <x:c r="G66" s="12" t="str">
        <x:v>先沿用尺寸与拼装参照，改变比例前回归持枪和碰撞可读性。</x:v>
      </x:c>
      <x:c r="H66" s="12"/>
      <x:c r="I66" s="12"/>
    </x:row>
    <x:row r="67" ht="44" customHeight="1">
      <x:c r="A67" s="11" t="str">
        <x:v>Role2-Preview.png</x:v>
      </x:c>
      <x:c r="B67" s="11"/>
      <x:c r="C67" s="11"/>
      <x:c r="D67" s="11" t="n">
        <x:v>32</x:v>
      </x:c>
      <x:c r="E67" s="11" t="n">
        <x:v>40</x:v>
      </x:c>
      <x:c r="F67" s="11" t="str">
        <x:v>当前持久PNG</x:v>
      </x:c>
      <x:c r="G67" s="11" t="str">
        <x:v>先沿用尺寸与拼装参照，改变比例前回归持枪和碰撞可读性。</x:v>
      </x:c>
      <x:c r="H67" s="11"/>
      <x:c r="I67" s="11"/>
    </x:row>
    <x:row r="68" ht="44" customHeight="1">
      <x:c r="A68" s="12" t="str">
        <x:v>Role2-Torso.png</x:v>
      </x:c>
      <x:c r="B68" s="12"/>
      <x:c r="C68" s="12"/>
      <x:c r="D68" s="12" t="n">
        <x:v>32</x:v>
      </x:c>
      <x:c r="E68" s="12" t="n">
        <x:v>40</x:v>
      </x:c>
      <x:c r="F68" s="12" t="str">
        <x:v>当前持久PNG</x:v>
      </x:c>
      <x:c r="G68" s="12" t="str">
        <x:v>先沿用尺寸与拼装参照，改变比例前回归持枪和碰撞可读性。</x:v>
      </x:c>
      <x:c r="H68" s="12"/>
      <x:c r="I68" s="12"/>
    </x:row>
    <x:row r="69" ht="44" customHeight="1">
      <x:c r="A69" s="11" t="str">
        <x:v>Role3-Head.png</x:v>
      </x:c>
      <x:c r="B69" s="11"/>
      <x:c r="C69" s="11"/>
      <x:c r="D69" s="11" t="n">
        <x:v>24</x:v>
      </x:c>
      <x:c r="E69" s="11" t="n">
        <x:v>24</x:v>
      </x:c>
      <x:c r="F69" s="11" t="str">
        <x:v>当前持久PNG</x:v>
      </x:c>
      <x:c r="G69" s="11" t="str">
        <x:v>先沿用尺寸与拼装参照，改变比例前回归持枪和碰撞可读性。</x:v>
      </x:c>
      <x:c r="H69" s="11"/>
      <x:c r="I69" s="11"/>
    </x:row>
    <x:row r="70" ht="44" customHeight="1">
      <x:c r="A70" s="12" t="str">
        <x:v>Role3-Preview.png</x:v>
      </x:c>
      <x:c r="B70" s="12"/>
      <x:c r="C70" s="12"/>
      <x:c r="D70" s="12" t="n">
        <x:v>32</x:v>
      </x:c>
      <x:c r="E70" s="12" t="n">
        <x:v>40</x:v>
      </x:c>
      <x:c r="F70" s="12" t="str">
        <x:v>当前持久PNG</x:v>
      </x:c>
      <x:c r="G70" s="12" t="str">
        <x:v>先沿用尺寸与拼装参照，改变比例前回归持枪和碰撞可读性。</x:v>
      </x:c>
      <x:c r="H70" s="12"/>
      <x:c r="I70" s="12"/>
    </x:row>
    <x:row r="71" ht="44" customHeight="1">
      <x:c r="A71" s="11" t="str">
        <x:v>Role3-Torso.png</x:v>
      </x:c>
      <x:c r="B71" s="11"/>
      <x:c r="C71" s="11"/>
      <x:c r="D71" s="11" t="n">
        <x:v>32</x:v>
      </x:c>
      <x:c r="E71" s="11" t="n">
        <x:v>40</x:v>
      </x:c>
      <x:c r="F71" s="11" t="str">
        <x:v>当前持久PNG</x:v>
      </x:c>
      <x:c r="G71" s="11" t="str">
        <x:v>先沿用尺寸与拼装参照，改变比例前回归持枪和碰撞可读性。</x:v>
      </x:c>
      <x:c r="H71" s="11"/>
      <x:c r="I71" s="11"/>
    </x:row>
    <x:row r="72" ht="44" customHeight="1">
      <x:c r="A72" s="12" t="str">
        <x:v>Sentinel.png</x:v>
      </x:c>
      <x:c r="B72" s="12"/>
      <x:c r="C72" s="12"/>
      <x:c r="D72" s="12" t="n">
        <x:v>128</x:v>
      </x:c>
      <x:c r="E72" s="12" t="n">
        <x:v>112</x:v>
      </x:c>
      <x:c r="F72" s="12" t="str">
        <x:v>当前持久PNG</x:v>
      </x:c>
      <x:c r="G72" s="12" t="str">
        <x:v>先沿用尺寸与拼装参照，改变比例前回归持枪和碰撞可读性。</x:v>
      </x:c>
      <x:c r="H72" s="12"/>
      <x:c r="I72" s="12"/>
    </x:row>
    <x:row r="73" ht="44" customHeight="1">
      <x:c r="A73" s="11" t="str">
        <x:v>Street.png</x:v>
      </x:c>
      <x:c r="B73" s="11"/>
      <x:c r="C73" s="11"/>
      <x:c r="D73" s="11" t="n">
        <x:v>64</x:v>
      </x:c>
      <x:c r="E73" s="11" t="n">
        <x:v>32</x:v>
      </x:c>
      <x:c r="F73" s="11" t="str">
        <x:v>当前持久PNG</x:v>
      </x:c>
      <x:c r="G73" s="11" t="str">
        <x:v>先沿用尺寸与拼装参照，改变比例前回归持枪和碰撞可读性。</x:v>
      </x:c>
      <x:c r="H73" s="11"/>
      <x:c r="I73" s="11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</x:row>
  </x:sheetData>
  <x:mergeCells>
    <x:mergeCell ref="B41:D41"/>
    <x:mergeCell ref="E41:F41"/>
    <x:mergeCell ref="G41:I41"/>
    <x:mergeCell ref="B42:D42"/>
    <x:mergeCell ref="E42:F42"/>
    <x:mergeCell ref="G42:I42"/>
    <x:mergeCell ref="B43:D43"/>
    <x:mergeCell ref="E43:F43"/>
    <x:mergeCell ref="G43:I43"/>
    <x:mergeCell ref="B44:D44"/>
    <x:mergeCell ref="E44:F44"/>
    <x:mergeCell ref="G44:I44"/>
    <x:mergeCell ref="B45:D45"/>
    <x:mergeCell ref="E45:F45"/>
    <x:mergeCell ref="G45:I45"/>
    <x:mergeCell ref="A49:C49"/>
    <x:mergeCell ref="G49:I49"/>
    <x:mergeCell ref="A50:C50"/>
    <x:mergeCell ref="G50:I50"/>
    <x:mergeCell ref="A51:C51"/>
    <x:mergeCell ref="G51:I51"/>
    <x:mergeCell ref="A52:C52"/>
    <x:mergeCell ref="G52:I52"/>
    <x:mergeCell ref="A53:C53"/>
    <x:mergeCell ref="G53:I53"/>
    <x:mergeCell ref="A54:C54"/>
    <x:mergeCell ref="G54:I54"/>
    <x:mergeCell ref="A55:C55"/>
    <x:mergeCell ref="G55:I55"/>
    <x:mergeCell ref="A56:C56"/>
    <x:mergeCell ref="G56:I56"/>
    <x:mergeCell ref="A57:C57"/>
    <x:mergeCell ref="G57:I57"/>
    <x:mergeCell ref="A58:C58"/>
    <x:mergeCell ref="G58:I58"/>
    <x:mergeCell ref="A59:C59"/>
    <x:mergeCell ref="G59:I59"/>
    <x:mergeCell ref="A60:C60"/>
    <x:mergeCell ref="G60:I60"/>
    <x:mergeCell ref="A61:C61"/>
    <x:mergeCell ref="G61:I61"/>
    <x:mergeCell ref="A62:C62"/>
    <x:mergeCell ref="G62:I62"/>
    <x:mergeCell ref="A63:C63"/>
    <x:mergeCell ref="G63:I63"/>
    <x:mergeCell ref="A64:C64"/>
    <x:mergeCell ref="G64:I64"/>
    <x:mergeCell ref="A65:C65"/>
    <x:mergeCell ref="G65:I65"/>
    <x:mergeCell ref="A66:C66"/>
    <x:mergeCell ref="G66:I66"/>
    <x:mergeCell ref="A67:C67"/>
    <x:mergeCell ref="G67:I67"/>
    <x:mergeCell ref="A68:C68"/>
    <x:mergeCell ref="G68:I68"/>
    <x:mergeCell ref="A69:C69"/>
    <x:mergeCell ref="G69:I69"/>
    <x:mergeCell ref="A70:C70"/>
    <x:mergeCell ref="G70:I70"/>
    <x:mergeCell ref="A71:C71"/>
    <x:mergeCell ref="G71:I71"/>
    <x:mergeCell ref="A72:C72"/>
    <x:mergeCell ref="G72:I72"/>
    <x:mergeCell ref="A73:C73"/>
    <x:mergeCell ref="G73:I7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.380000114440918" hidden="0" customWidth="1"/>
    <x:col min="2" max="2" width="8.130000114440918" hidden="0" customWidth="1"/>
    <x:col min="3" max="3" width="9.380000114440918" hidden="0" customWidth="1"/>
    <x:col min="4" max="4" width="26.25" hidden="0" customWidth="1"/>
    <x:col min="5" max="5" width="19.3799991607666" hidden="0" customWidth="1"/>
    <x:col min="6" max="6" width="36.25" hidden="0" customWidth="1"/>
    <x:col min="7" max="7" width="23.1299991607666" hidden="0" customWidth="1"/>
    <x:col min="8" max="8" width="9.380000114440918" hidden="0" customWidth="1"/>
    <x:col min="9" max="9" width="9.380000114440918" hidden="0" customWidth="1"/>
    <x:col min="10" max="10" width="9.380000114440918" hidden="0" customWidth="1"/>
    <x:col min="11" max="11" width="10.630000114440918" hidden="0" customWidth="1"/>
    <x:col min="12" max="12" width="12.5" hidden="0" customWidth="1"/>
    <x:col min="13" max="13" width="16.25" hidden="0" customWidth="1"/>
    <x:col min="14" max="14" width="15" hidden="0" customWidth="1"/>
    <x:col min="15" max="15" width="15" hidden="0" customWidth="1"/>
    <x:col min="16" max="16" width="28.75" hidden="0" customWidth="1"/>
    <x:col min="17" max="17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任务拆分、依赖与工作量草估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4" customHeight="1">
      <x:c r="A4" s="5" t="str">
        <x:v>工时是策划初估人日，非承诺；执行人待指定。PERT=(乐观+4×常规+悲观)/6，状态待团队维护。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2" customHeight="1">
      <x:c r="A6" s="9" t="str">
        <x:v>任务</x:v>
      </x:c>
      <x:c r="B6" s="9" t="str">
        <x:v>阶段</x:v>
      </x:c>
      <x:c r="C6" s="9" t="str">
        <x:v>岗位</x:v>
      </x:c>
      <x:c r="D6" s="9" t="str">
        <x:v>制作项</x:v>
      </x:c>
      <x:c r="E6" s="9" t="str">
        <x:v>需求或资源</x:v>
      </x:c>
      <x:c r="F6" s="9" t="str">
        <x:v>交付与完成定义</x:v>
      </x:c>
      <x:c r="G6" s="9" t="str">
        <x:v>前置任务</x:v>
      </x:c>
      <x:c r="H6" s="9" t="str">
        <x:v>乐观</x:v>
      </x:c>
      <x:c r="I6" s="9" t="str">
        <x:v>常规</x:v>
      </x:c>
      <x:c r="J6" s="9" t="str">
        <x:v>悲观</x:v>
      </x:c>
      <x:c r="K6" s="9" t="str">
        <x:v>期望人日</x:v>
      </x:c>
      <x:c r="L6" s="9" t="str">
        <x:v>状态</x:v>
      </x:c>
      <x:c r="M6" s="9" t="str">
        <x:v>实际人日</x:v>
      </x:c>
      <x:c r="N6" s="8" t="str">
        <x:v>执行负责人</x:v>
      </x:c>
      <x:c r="O6" s="8" t="str">
        <x:v>验收人</x:v>
      </x:c>
      <x:c r="P6" s="8" t="str">
        <x:v>验收证据或阻塞原因</x:v>
      </x:c>
      <x:c r="Q6" s="8" t="str">
        <x:v>验收记录状态</x:v>
      </x:c>
    </x:row>
    <x:row r="7" ht="69" customHeight="1">
      <x:c r="A7" s="12" t="str">
        <x:v>W01</x:v>
      </x:c>
      <x:c r="B7" s="12" t="str">
        <x:v>M0</x:v>
      </x:c>
      <x:c r="C7" s="12" t="str">
        <x:v>策划</x:v>
      </x:c>
      <x:c r="D7" s="12" t="str">
        <x:v>范围与规则评审</x:v>
      </x:c>
      <x:c r="E7" s="12" t="str">
        <x:v>PRD-01—11</x:v>
      </x:c>
      <x:c r="F7" s="12" t="str">
        <x:v>冻结范围、需求与 D01—D08</x:v>
      </x:c>
      <x:c r="G7" s="12" t="str"/>
      <x:c r="H7" s="16" t="n">
        <x:v>1</x:v>
      </x:c>
      <x:c r="I7" s="16" t="n">
        <x:v>2</x:v>
      </x:c>
      <x:c r="J7" s="16" t="n">
        <x:v>3</x:v>
      </x:c>
      <x:c r="K7" s="25" t="n">
        <x:f>(H7+4*I7+J7)/6</x:f>
        <x:v>2</x:v>
      </x:c>
      <x:c r="L7" s="15" t="str">
        <x:v>未启动</x:v>
      </x:c>
      <x:c r="M7" s="15"/>
      <x:c r="N7" s="31"/>
      <x:c r="O7" s="31"/>
      <x:c r="P7" s="31"/>
      <x:c r="Q7" s="2" t="str">
        <x:f>IF(L7="已完成",IF(AND(N7&lt;&gt;"",O7&lt;&gt;"",P7&lt;&gt;""),"验收记录齐全","待补齐验收"),L7)</x:f>
        <x:v>未启动</x:v>
      </x:c>
    </x:row>
    <x:row r="8" ht="69" customHeight="1">
      <x:c r="A8" s="11" t="str">
        <x:v>W02</x:v>
      </x:c>
      <x:c r="B8" s="11" t="str">
        <x:v>M0</x:v>
      </x:c>
      <x:c r="C8" s="11" t="str">
        <x:v>程序</x:v>
      </x:c>
      <x:c r="D8" s="11" t="str">
        <x:v>双端重建与配置基线</x:v>
      </x:c>
      <x:c r="E8" s="11" t="str">
        <x:v>REL-01</x:v>
      </x:c>
      <x:c r="F8" s="11" t="str">
        <x:v>同提交可构建，两端参数一致</x:v>
      </x:c>
      <x:c r="G8" s="11" t="str">
        <x:v>W01</x:v>
      </x:c>
      <x:c r="H8" s="16" t="n">
        <x:v>1</x:v>
      </x:c>
      <x:c r="I8" s="16" t="n">
        <x:v>2</x:v>
      </x:c>
      <x:c r="J8" s="16" t="n">
        <x:v>4</x:v>
      </x:c>
      <x:c r="K8" s="26" t="n">
        <x:f>(H8+4*I8+J8)/6</x:f>
        <x:v>2.1666666666666665</x:v>
      </x:c>
      <x:c r="L8" s="15" t="str">
        <x:v>未启动</x:v>
      </x:c>
      <x:c r="M8" s="15"/>
      <x:c r="N8" s="31"/>
      <x:c r="O8" s="31"/>
      <x:c r="P8" s="31"/>
      <x:c r="Q8" s="2" t="str">
        <x:f>IF(L8="已完成",IF(AND(N8&lt;&gt;"",O8&lt;&gt;"",P8&lt;&gt;""),"验收记录齐全","待补齐验收"),L8)</x:f>
        <x:v>未启动</x:v>
      </x:c>
    </x:row>
    <x:row r="9" ht="69" customHeight="1">
      <x:c r="A9" s="12" t="str">
        <x:v>W03</x:v>
      </x:c>
      <x:c r="B9" s="12" t="str">
        <x:v>M0</x:v>
      </x:c>
      <x:c r="C9" s="12" t="str">
        <x:v>策划</x:v>
      </x:c>
      <x:c r="D9" s="12" t="str">
        <x:v>提取问题与试玩方案</x:v>
      </x:c>
      <x:c r="E9" s="12" t="str">
        <x:v>QA-01</x:v>
      </x:c>
      <x:c r="F9" s="12" t="str">
        <x:v>带版本、设备和问题分类的记录模板</x:v>
      </x:c>
      <x:c r="G9" s="12" t="str">
        <x:v>W01</x:v>
      </x:c>
      <x:c r="H9" s="16" t="n">
        <x:v>1</x:v>
      </x:c>
      <x:c r="I9" s="16" t="n">
        <x:v>1.5</x:v>
      </x:c>
      <x:c r="J9" s="16" t="n">
        <x:v>2</x:v>
      </x:c>
      <x:c r="K9" s="25" t="n">
        <x:f>(H9+4*I9+J9)/6</x:f>
        <x:v>1.5</x:v>
      </x:c>
      <x:c r="L9" s="15" t="str">
        <x:v>未启动</x:v>
      </x:c>
      <x:c r="M9" s="15"/>
      <x:c r="N9" s="31"/>
      <x:c r="O9" s="31"/>
      <x:c r="P9" s="31"/>
      <x:c r="Q9" s="2" t="str">
        <x:f>IF(L9="已完成",IF(AND(N9&lt;&gt;"",O9&lt;&gt;"",P9&lt;&gt;""),"验收记录齐全","待补齐验收"),L9)</x:f>
        <x:v>未启动</x:v>
      </x:c>
    </x:row>
    <x:row r="10" ht="69" customHeight="1">
      <x:c r="A10" s="11" t="str">
        <x:v>W04</x:v>
      </x:c>
      <x:c r="B10" s="11" t="str">
        <x:v>M1</x:v>
      </x:c>
      <x:c r="C10" s="11" t="str">
        <x:v>程序</x:v>
      </x:c>
      <x:c r="D10" s="11" t="str">
        <x:v>战斗时序和编辑字段复核</x:v>
      </x:c>
      <x:c r="E10" s="11" t="str">
        <x:v>TIM-01</x:v>
      </x:c>
      <x:c r="F10" s="11" t="str">
        <x:v>低帧时间、暂停、冷却及 Inspector 对照报告</x:v>
      </x:c>
      <x:c r="G10" s="11" t="str">
        <x:v>W02</x:v>
      </x:c>
      <x:c r="H10" s="16" t="n">
        <x:v>1</x:v>
      </x:c>
      <x:c r="I10" s="16" t="n">
        <x:v>2</x:v>
      </x:c>
      <x:c r="J10" s="16" t="n">
        <x:v>4</x:v>
      </x:c>
      <x:c r="K10" s="26" t="n">
        <x:f>(H10+4*I10+J10)/6</x:f>
        <x:v>2.1666666666666665</x:v>
      </x:c>
      <x:c r="L10" s="15" t="str">
        <x:v>未启动</x:v>
      </x:c>
      <x:c r="M10" s="15"/>
      <x:c r="N10" s="31"/>
      <x:c r="O10" s="31"/>
      <x:c r="P10" s="31"/>
      <x:c r="Q10" s="2" t="str">
        <x:f>IF(L10="已完成",IF(AND(N10&lt;&gt;"",O10&lt;&gt;"",P10&lt;&gt;""),"验收记录齐全","待补齐验收"),L10)</x:f>
        <x:v>未启动</x:v>
      </x:c>
    </x:row>
    <x:row r="11" ht="69" customHeight="1">
      <x:c r="A11" s="12" t="str">
        <x:v>W05</x:v>
      </x:c>
      <x:c r="B11" s="12" t="str">
        <x:v>M1</x:v>
      </x:c>
      <x:c r="C11" s="12" t="str">
        <x:v>程序</x:v>
      </x:c>
      <x:c r="D11" s="12" t="str">
        <x:v>第一关出生预警样板</x:v>
      </x:c>
      <x:c r="E11" s="12" t="str">
        <x:v>SPN-02</x:v>
      </x:c>
      <x:c r="F11" s="12" t="str">
        <x:v>预警位置可编辑，出生不在玩家不可见危险处</x:v>
      </x:c>
      <x:c r="G11" s="12" t="str">
        <x:v>W04</x:v>
      </x:c>
      <x:c r="H11" s="16" t="n">
        <x:v>2</x:v>
      </x:c>
      <x:c r="I11" s="16" t="n">
        <x:v>3</x:v>
      </x:c>
      <x:c r="J11" s="16" t="n">
        <x:v>5</x:v>
      </x:c>
      <x:c r="K11" s="25" t="n">
        <x:f>(H11+4*I11+J11)/6</x:f>
        <x:v>3.1666666666666665</x:v>
      </x:c>
      <x:c r="L11" s="15" t="str">
        <x:v>未启动</x:v>
      </x:c>
      <x:c r="M11" s="15"/>
      <x:c r="N11" s="31"/>
      <x:c r="O11" s="31"/>
      <x:c r="P11" s="31"/>
      <x:c r="Q11" s="2" t="str">
        <x:f>IF(L11="已完成",IF(AND(N11&lt;&gt;"",O11&lt;&gt;"",P11&lt;&gt;""),"验收记录齐全","待补齐验收"),L11)</x:f>
        <x:v>未启动</x:v>
      </x:c>
    </x:row>
    <x:row r="12" ht="69" customHeight="1">
      <x:c r="A12" s="11" t="str">
        <x:v>W06</x:v>
      </x:c>
      <x:c r="B12" s="11" t="str">
        <x:v>M1</x:v>
      </x:c>
      <x:c r="C12" s="11" t="str">
        <x:v>程序</x:v>
      </x:c>
      <x:c r="D12" s="11" t="str">
        <x:v>Boss 前摇与阶段接口</x:v>
      </x:c>
      <x:c r="E12" s="11" t="str">
        <x:v>BOS-01</x:v>
      </x:c>
      <x:c r="F12" s="11" t="str">
        <x:v>前摇、射击、阶段事件能驱动表现并可测</x:v>
      </x:c>
      <x:c r="G12" s="11" t="str">
        <x:v>W04</x:v>
      </x:c>
      <x:c r="H12" s="16" t="n">
        <x:v>1.5</x:v>
      </x:c>
      <x:c r="I12" s="16" t="n">
        <x:v>3</x:v>
      </x:c>
      <x:c r="J12" s="16" t="n">
        <x:v>5</x:v>
      </x:c>
      <x:c r="K12" s="26" t="n">
        <x:f>(H12+4*I12+J12)/6</x:f>
        <x:v>3.0833333333333335</x:v>
      </x:c>
      <x:c r="L12" s="15" t="str">
        <x:v>未启动</x:v>
      </x:c>
      <x:c r="M12" s="15"/>
      <x:c r="N12" s="31"/>
      <x:c r="O12" s="31"/>
      <x:c r="P12" s="31"/>
      <x:c r="Q12" s="2" t="str">
        <x:f>IF(L12="已完成",IF(AND(N12&lt;&gt;"",O12&lt;&gt;"",P12&lt;&gt;""),"验收记录齐全","待补齐验收"),L12)</x:f>
        <x:v>未启动</x:v>
      </x:c>
    </x:row>
    <x:row r="13" ht="69" customHeight="1">
      <x:c r="A13" s="12" t="str">
        <x:v>W07</x:v>
      </x:c>
      <x:c r="B13" s="12" t="str">
        <x:v>M1</x:v>
      </x:c>
      <x:c r="C13" s="12" t="str">
        <x:v>美术</x:v>
      </x:c>
      <x:c r="D13" s="12" t="str">
        <x:v>四职业动作样板</x:v>
      </x:c>
      <x:c r="E13" s="12" t="str">
        <x:v>CHR-1-A 等</x:v>
      </x:c>
      <x:c r="F13" s="12" t="str">
        <x:v>跑跳、施法、受击死亡可区分，保留剪影</x:v>
      </x:c>
      <x:c r="G13" s="12" t="str">
        <x:v>W01</x:v>
      </x:c>
      <x:c r="H13" s="16" t="n">
        <x:v>3</x:v>
      </x:c>
      <x:c r="I13" s="16" t="n">
        <x:v>5</x:v>
      </x:c>
      <x:c r="J13" s="16" t="n">
        <x:v>8</x:v>
      </x:c>
      <x:c r="K13" s="25" t="n">
        <x:f>(H13+4*I13+J13)/6</x:f>
        <x:v>5.166666666666667</x:v>
      </x:c>
      <x:c r="L13" s="15" t="str">
        <x:v>未启动</x:v>
      </x:c>
      <x:c r="M13" s="15"/>
      <x:c r="N13" s="31"/>
      <x:c r="O13" s="31"/>
      <x:c r="P13" s="31"/>
      <x:c r="Q13" s="2" t="str">
        <x:f>IF(L13="已完成",IF(AND(N13&lt;&gt;"",O13&lt;&gt;"",P13&lt;&gt;""),"验收记录齐全","待补齐验收"),L13)</x:f>
        <x:v>未启动</x:v>
      </x:c>
    </x:row>
    <x:row r="14" ht="69" customHeight="1">
      <x:c r="A14" s="11" t="str">
        <x:v>W08</x:v>
      </x:c>
      <x:c r="B14" s="11" t="str">
        <x:v>M1</x:v>
      </x:c>
      <x:c r="C14" s="11" t="str">
        <x:v>美术</x:v>
      </x:c>
      <x:c r="D14" s="11" t="str">
        <x:v>五枪后坐与枪口样板</x:v>
      </x:c>
      <x:c r="E14" s="11" t="str">
        <x:v>WPN-1—5</x:v>
      </x:c>
      <x:c r="F14" s="11" t="str">
        <x:v>实际枪口和旋转握持点一致，双枪可读</x:v>
      </x:c>
      <x:c r="G14" s="11" t="str">
        <x:v>W01</x:v>
      </x:c>
      <x:c r="H14" s="16" t="n">
        <x:v>2</x:v>
      </x:c>
      <x:c r="I14" s="16" t="n">
        <x:v>3</x:v>
      </x:c>
      <x:c r="J14" s="16" t="n">
        <x:v>5</x:v>
      </x:c>
      <x:c r="K14" s="26" t="n">
        <x:f>(H14+4*I14+J14)/6</x:f>
        <x:v>3.1666666666666665</x:v>
      </x:c>
      <x:c r="L14" s="15" t="str">
        <x:v>未启动</x:v>
      </x:c>
      <x:c r="M14" s="15"/>
      <x:c r="N14" s="31"/>
      <x:c r="O14" s="31"/>
      <x:c r="P14" s="31"/>
      <x:c r="Q14" s="2" t="str">
        <x:f>IF(L14="已完成",IF(AND(N14&lt;&gt;"",O14&lt;&gt;"",P14&lt;&gt;""),"验收记录齐全","待补齐验收"),L14)</x:f>
        <x:v>未启动</x:v>
      </x:c>
    </x:row>
    <x:row r="15" ht="69" customHeight="1">
      <x:c r="A15" s="12" t="str">
        <x:v>W09</x:v>
      </x:c>
      <x:c r="B15" s="12" t="str">
        <x:v>M1</x:v>
      </x:c>
      <x:c r="C15" s="12" t="str">
        <x:v>美术</x:v>
      </x:c>
      <x:c r="D15" s="12" t="str">
        <x:v>四技能效果打磨</x:v>
      </x:c>
      <x:c r="E15" s="12" t="str">
        <x:v>VFX-01—04</x:v>
      </x:c>
      <x:c r="F15" s="12" t="str">
        <x:v>施放、持续、结束和暂停均正确</x:v>
      </x:c>
      <x:c r="G15" s="12" t="str">
        <x:v>W07,W08</x:v>
      </x:c>
      <x:c r="H15" s="16" t="n">
        <x:v>2</x:v>
      </x:c>
      <x:c r="I15" s="16" t="n">
        <x:v>4</x:v>
      </x:c>
      <x:c r="J15" s="16" t="n">
        <x:v>6</x:v>
      </x:c>
      <x:c r="K15" s="25" t="n">
        <x:f>(H15+4*I15+J15)/6</x:f>
        <x:v>4</x:v>
      </x:c>
      <x:c r="L15" s="15" t="str">
        <x:v>未启动</x:v>
      </x:c>
      <x:c r="M15" s="15"/>
      <x:c r="N15" s="31"/>
      <x:c r="O15" s="31"/>
      <x:c r="P15" s="31"/>
      <x:c r="Q15" s="2" t="str">
        <x:f>IF(L15="已完成",IF(AND(N15&lt;&gt;"",O15&lt;&gt;"",P15&lt;&gt;""),"验收记录齐全","待补齐验收"),L15)</x:f>
        <x:v>未启动</x:v>
      </x:c>
    </x:row>
    <x:row r="16" ht="69" customHeight="1">
      <x:c r="A16" s="11" t="str">
        <x:v>W10</x:v>
      </x:c>
      <x:c r="B16" s="11" t="str">
        <x:v>M1</x:v>
      </x:c>
      <x:c r="C16" s="11" t="str">
        <x:v>美术</x:v>
      </x:c>
      <x:c r="D16" s="11" t="str">
        <x:v>敌人/页面表现样板</x:v>
      </x:c>
      <x:c r="E16" s="11" t="str">
        <x:v>ENM-01/02、UI-ART</x:v>
      </x:c>
      <x:c r="F16" s="11" t="str">
        <x:v>首关普通敌人与 Boss、HUD 有统一可读性</x:v>
      </x:c>
      <x:c r="G16" s="11" t="str">
        <x:v>W05,W06</x:v>
      </x:c>
      <x:c r="H16" s="16" t="n">
        <x:v>2</x:v>
      </x:c>
      <x:c r="I16" s="16" t="n">
        <x:v>4</x:v>
      </x:c>
      <x:c r="J16" s="16" t="n">
        <x:v>7</x:v>
      </x:c>
      <x:c r="K16" s="26" t="n">
        <x:f>(H16+4*I16+J16)/6</x:f>
        <x:v>4.166666666666667</x:v>
      </x:c>
      <x:c r="L16" s="15" t="str">
        <x:v>未启动</x:v>
      </x:c>
      <x:c r="M16" s="15"/>
      <x:c r="N16" s="31"/>
      <x:c r="O16" s="31"/>
      <x:c r="P16" s="31"/>
      <x:c r="Q16" s="2" t="str">
        <x:f>IF(L16="已完成",IF(AND(N16&lt;&gt;"",O16&lt;&gt;"",P16&lt;&gt;""),"验收记录齐全","待补齐验收"),L16)</x:f>
        <x:v>未启动</x:v>
      </x:c>
    </x:row>
    <x:row r="17" ht="69" customHeight="1">
      <x:c r="A17" s="12" t="str">
        <x:v>W11</x:v>
      </x:c>
      <x:c r="B17" s="12" t="str">
        <x:v>M1</x:v>
      </x:c>
      <x:c r="C17" s="12" t="str">
        <x:v>程序</x:v>
      </x:c>
      <x:c r="D17" s="12" t="str">
        <x:v>设置与文字提示接入</x:v>
      </x:c>
      <x:c r="E17" s="12" t="str">
        <x:v>UI-07/10/13</x:v>
      </x:c>
      <x:c r="F17" s="12" t="str">
        <x:v>震动开关、字号等按 D05 范围完成并保存</x:v>
      </x:c>
      <x:c r="G17" s="12" t="str">
        <x:v>W01,W04</x:v>
      </x:c>
      <x:c r="H17" s="16" t="n">
        <x:v>2</x:v>
      </x:c>
      <x:c r="I17" s="16" t="n">
        <x:v>3</x:v>
      </x:c>
      <x:c r="J17" s="16" t="n">
        <x:v>5</x:v>
      </x:c>
      <x:c r="K17" s="25" t="n">
        <x:f>(H17+4*I17+J17)/6</x:f>
        <x:v>3.1666666666666665</x:v>
      </x:c>
      <x:c r="L17" s="15" t="str">
        <x:v>未启动</x:v>
      </x:c>
      <x:c r="M17" s="15"/>
      <x:c r="N17" s="31"/>
      <x:c r="O17" s="31"/>
      <x:c r="P17" s="31"/>
      <x:c r="Q17" s="2" t="str">
        <x:f>IF(L17="已完成",IF(AND(N17&lt;&gt;"",O17&lt;&gt;"",P17&lt;&gt;""),"验收记录齐全","待补齐验收"),L17)</x:f>
        <x:v>未启动</x:v>
      </x:c>
    </x:row>
    <x:row r="18" ht="69" customHeight="1">
      <x:c r="A18" s="11" t="str">
        <x:v>W12</x:v>
      </x:c>
      <x:c r="B18" s="11" t="str">
        <x:v>M1</x:v>
      </x:c>
      <x:c r="C18" s="11" t="str">
        <x:v>音频</x:v>
      </x:c>
      <x:c r="D18" s="11" t="str">
        <x:v>技能和提示音样板</x:v>
      </x:c>
      <x:c r="E18" s="11" t="str">
        <x:v>SFX-01/02</x:v>
      </x:c>
      <x:c r="F18" s="11" t="str">
        <x:v>与真实事件同步，不盖过重要提示</x:v>
      </x:c>
      <x:c r="G18" s="11" t="str">
        <x:v>W06,W09</x:v>
      </x:c>
      <x:c r="H18" s="16" t="n">
        <x:v>1.5</x:v>
      </x:c>
      <x:c r="I18" s="16" t="n">
        <x:v>3</x:v>
      </x:c>
      <x:c r="J18" s="16" t="n">
        <x:v>5</x:v>
      </x:c>
      <x:c r="K18" s="26" t="n">
        <x:f>(H18+4*I18+J18)/6</x:f>
        <x:v>3.0833333333333335</x:v>
      </x:c>
      <x:c r="L18" s="15" t="str">
        <x:v>未启动</x:v>
      </x:c>
      <x:c r="M18" s="15"/>
      <x:c r="N18" s="31"/>
      <x:c r="O18" s="31"/>
      <x:c r="P18" s="31"/>
      <x:c r="Q18" s="2" t="str">
        <x:f>IF(L18="已完成",IF(AND(N18&lt;&gt;"",O18&lt;&gt;"",P18&lt;&gt;""),"验收记录齐全","待补齐验收"),L18)</x:f>
        <x:v>未启动</x:v>
      </x:c>
    </x:row>
    <x:row r="19" ht="69" customHeight="1">
      <x:c r="A19" s="12" t="str">
        <x:v>W13</x:v>
      </x:c>
      <x:c r="B19" s="12" t="str">
        <x:v>M1</x:v>
      </x:c>
      <x:c r="C19" s="12" t="str">
        <x:v>QA</x:v>
      </x:c>
      <x:c r="D19" s="12" t="str">
        <x:v>垂直切片评审包</x:v>
      </x:c>
      <x:c r="E19" s="12" t="str">
        <x:v>QA-01、UI-01—12</x:v>
      </x:c>
      <x:c r="F19" s="12" t="str">
        <x:v>第一关二十配装可启动完成，问题可复现</x:v>
      </x:c>
      <x:c r="G19" s="12" t="str">
        <x:v>W05,W06,W09,W10,W11,W12</x:v>
      </x:c>
      <x:c r="H19" s="16" t="n">
        <x:v>2</x:v>
      </x:c>
      <x:c r="I19" s="16" t="n">
        <x:v>3</x:v>
      </x:c>
      <x:c r="J19" s="16" t="n">
        <x:v>5</x:v>
      </x:c>
      <x:c r="K19" s="25" t="n">
        <x:f>(H19+4*I19+J19)/6</x:f>
        <x:v>3.1666666666666665</x:v>
      </x:c>
      <x:c r="L19" s="15" t="str">
        <x:v>未启动</x:v>
      </x:c>
      <x:c r="M19" s="15"/>
      <x:c r="N19" s="31"/>
      <x:c r="O19" s="31"/>
      <x:c r="P19" s="31"/>
      <x:c r="Q19" s="2" t="str">
        <x:f>IF(L19="已完成",IF(AND(N19&lt;&gt;"",O19&lt;&gt;"",P19&lt;&gt;""),"验收记录齐全","待补齐验收"),L19)</x:f>
        <x:v>未启动</x:v>
      </x:c>
    </x:row>
    <x:row r="20" ht="69" customHeight="1">
      <x:c r="A20" s="11" t="str">
        <x:v>W14</x:v>
      </x:c>
      <x:c r="B20" s="11" t="str">
        <x:v>M2</x:v>
      </x:c>
      <x:c r="C20" s="11" t="str">
        <x:v>策划</x:v>
      </x:c>
      <x:c r="D20" s="11" t="str">
        <x:v>八关灰盒与任务引导</x:v>
      </x:c>
      <x:c r="E20" s="11" t="str">
        <x:v>L1-1—L8-5</x:v>
      </x:c>
      <x:c r="F20" s="11" t="str">
        <x:v>按分段脚本验证出生、任务与多方向出口</x:v>
      </x:c>
      <x:c r="G20" s="11" t="str">
        <x:v>W13</x:v>
      </x:c>
      <x:c r="H20" s="16" t="n">
        <x:v>3</x:v>
      </x:c>
      <x:c r="I20" s="16" t="n">
        <x:v>5</x:v>
      </x:c>
      <x:c r="J20" s="16" t="n">
        <x:v>8</x:v>
      </x:c>
      <x:c r="K20" s="26" t="n">
        <x:f>(H20+4*I20+J20)/6</x:f>
        <x:v>5.166666666666667</x:v>
      </x:c>
      <x:c r="L20" s="15" t="str">
        <x:v>未启动</x:v>
      </x:c>
      <x:c r="M20" s="15"/>
      <x:c r="N20" s="31"/>
      <x:c r="O20" s="31"/>
      <x:c r="P20" s="31"/>
      <x:c r="Q20" s="2" t="str">
        <x:f>IF(L20="已完成",IF(AND(N20&lt;&gt;"",O20&lt;&gt;"",P20&lt;&gt;""),"验收记录齐全","待补齐验收"),L20)</x:f>
        <x:v>未启动</x:v>
      </x:c>
    </x:row>
    <x:row r="21" ht="69" customHeight="1">
      <x:c r="A21" s="12" t="str">
        <x:v>W15</x:v>
      </x:c>
      <x:c r="B21" s="12" t="str">
        <x:v>M2</x:v>
      </x:c>
      <x:c r="C21" s="12" t="str">
        <x:v>美术</x:v>
      </x:c>
      <x:c r="D21" s="12" t="str">
        <x:v>后七关可读性修整</x:v>
      </x:c>
      <x:c r="E21" s="12" t="str">
        <x:v>ENV-2—8</x:v>
      </x:c>
      <x:c r="F21" s="12" t="str">
        <x:v>不重画全部背景，修正高风险落点和任务标识</x:v>
      </x:c>
      <x:c r="G21" s="12" t="str">
        <x:v>W13,W14</x:v>
      </x:c>
      <x:c r="H21" s="16" t="n">
        <x:v>3</x:v>
      </x:c>
      <x:c r="I21" s="16" t="n">
        <x:v>5</x:v>
      </x:c>
      <x:c r="J21" s="16" t="n">
        <x:v>8</x:v>
      </x:c>
      <x:c r="K21" s="25" t="n">
        <x:f>(H21+4*I21+J21)/6</x:f>
        <x:v>5.166666666666667</x:v>
      </x:c>
      <x:c r="L21" s="15" t="str">
        <x:v>未启动</x:v>
      </x:c>
      <x:c r="M21" s="15"/>
      <x:c r="N21" s="31"/>
      <x:c r="O21" s="31"/>
      <x:c r="P21" s="31"/>
      <x:c r="Q21" s="2" t="str">
        <x:f>IF(L21="已完成",IF(AND(N21&lt;&gt;"",O21&lt;&gt;"",P21&lt;&gt;""),"验收记录齐全","待补齐验收"),L21)</x:f>
        <x:v>未启动</x:v>
      </x:c>
    </x:row>
    <x:row r="22" ht="69" customHeight="1">
      <x:c r="A22" s="11" t="str">
        <x:v>W16</x:v>
      </x:c>
      <x:c r="B22" s="11" t="str">
        <x:v>M2</x:v>
      </x:c>
      <x:c r="C22" s="11" t="str">
        <x:v>程序</x:v>
      </x:c>
      <x:c r="D22" s="11" t="str">
        <x:v>八关任务与表现集成</x:v>
      </x:c>
      <x:c r="E22" s="11" t="str">
        <x:v>OBJ-01、UI-05/08</x:v>
      </x:c>
      <x:c r="F22" s="11" t="str">
        <x:v>没有漏触发、重复交互或终关结算软锁</x:v>
      </x:c>
      <x:c r="G22" s="11" t="str">
        <x:v>W14,W15</x:v>
      </x:c>
      <x:c r="H22" s="16" t="n">
        <x:v>2</x:v>
      </x:c>
      <x:c r="I22" s="16" t="n">
        <x:v>4</x:v>
      </x:c>
      <x:c r="J22" s="16" t="n">
        <x:v>6</x:v>
      </x:c>
      <x:c r="K22" s="26" t="n">
        <x:f>(H22+4*I22+J22)/6</x:f>
        <x:v>4</x:v>
      </x:c>
      <x:c r="L22" s="15" t="str">
        <x:v>未启动</x:v>
      </x:c>
      <x:c r="M22" s="15"/>
      <x:c r="N22" s="31"/>
      <x:c r="O22" s="31"/>
      <x:c r="P22" s="31"/>
      <x:c r="Q22" s="2" t="str">
        <x:f>IF(L22="已完成",IF(AND(N22&lt;&gt;"",O22&lt;&gt;"",P22&lt;&gt;""),"验收记录齐全","待补齐验收"),L22)</x:f>
        <x:v>未启动</x:v>
      </x:c>
    </x:row>
    <x:row r="23" ht="69" customHeight="1">
      <x:c r="A23" s="12" t="str">
        <x:v>W17</x:v>
      </x:c>
      <x:c r="B23" s="12" t="str">
        <x:v>M2</x:v>
      </x:c>
      <x:c r="C23" s="12" t="str">
        <x:v>策划</x:v>
      </x:c>
      <x:c r="D23" s="12" t="str">
        <x:v>关前关后短文案</x:v>
      </x:c>
      <x:c r="E23" s="12" t="str">
        <x:v>PRD-06</x:v>
      </x:c>
      <x:c r="F23" s="12" t="str">
        <x:v>八关目标和结果文案，支持跳过与本地化标识</x:v>
      </x:c>
      <x:c r="G23" s="12" t="str">
        <x:v>W14</x:v>
      </x:c>
      <x:c r="H23" s="16" t="n">
        <x:v>1</x:v>
      </x:c>
      <x:c r="I23" s="16" t="n">
        <x:v>2</x:v>
      </x:c>
      <x:c r="J23" s="16" t="n">
        <x:v>3</x:v>
      </x:c>
      <x:c r="K23" s="25" t="n">
        <x:f>(H23+4*I23+J23)/6</x:f>
        <x:v>2</x:v>
      </x:c>
      <x:c r="L23" s="15" t="str">
        <x:v>未启动</x:v>
      </x:c>
      <x:c r="M23" s="15"/>
      <x:c r="N23" s="31"/>
      <x:c r="O23" s="31"/>
      <x:c r="P23" s="31"/>
      <x:c r="Q23" s="2" t="str">
        <x:f>IF(L23="已完成",IF(AND(N23&lt;&gt;"",O23&lt;&gt;"",P23&lt;&gt;""),"验收记录齐全","待补齐验收"),L23)</x:f>
        <x:v>未启动</x:v>
      </x:c>
    </x:row>
    <x:row r="24" ht="69" customHeight="1">
      <x:c r="A24" s="11" t="str">
        <x:v>W18</x:v>
      </x:c>
      <x:c r="B24" s="11" t="str">
        <x:v>M2</x:v>
      </x:c>
      <x:c r="C24" s="11" t="str">
        <x:v>程序</x:v>
      </x:c>
      <x:c r="D24" s="11" t="str">
        <x:v>任务短文案接入</x:v>
      </x:c>
      <x:c r="E24" s="11" t="str">
        <x:v>PRD-06、UI-05</x:v>
      </x:c>
      <x:c r="F24" s="11" t="str">
        <x:v>不阻塞输入，完成后正确切换目标</x:v>
      </x:c>
      <x:c r="G24" s="11" t="str">
        <x:v>W17</x:v>
      </x:c>
      <x:c r="H24" s="16" t="n">
        <x:v>1</x:v>
      </x:c>
      <x:c r="I24" s="16" t="n">
        <x:v>2</x:v>
      </x:c>
      <x:c r="J24" s="16" t="n">
        <x:v>3</x:v>
      </x:c>
      <x:c r="K24" s="26" t="n">
        <x:f>(H24+4*I24+J24)/6</x:f>
        <x:v>2</x:v>
      </x:c>
      <x:c r="L24" s="15" t="str">
        <x:v>未启动</x:v>
      </x:c>
      <x:c r="M24" s="15"/>
      <x:c r="N24" s="31"/>
      <x:c r="O24" s="31"/>
      <x:c r="P24" s="31"/>
      <x:c r="Q24" s="2" t="str">
        <x:f>IF(L24="已完成",IF(AND(N24&lt;&gt;"",O24&lt;&gt;"",P24&lt;&gt;""),"验收记录齐全","待补齐验收"),L24)</x:f>
        <x:v>未启动</x:v>
      </x:c>
    </x:row>
    <x:row r="25" ht="69" customHeight="1">
      <x:c r="A25" s="12" t="str">
        <x:v>W19</x:v>
      </x:c>
      <x:c r="B25" s="12" t="str">
        <x:v>M2</x:v>
      </x:c>
      <x:c r="C25" s="12" t="str">
        <x:v>QA</x:v>
      </x:c>
      <x:c r="D25" s="12" t="str">
        <x:v>非程序编辑验收</x:v>
      </x:c>
      <x:c r="E25" s="12" t="str">
        <x:v>EDIT-01</x:v>
      </x:c>
      <x:c r="F25" s="12" t="str">
        <x:v>策划真实改平台、出口、任务物与数值并保存运行</x:v>
      </x:c>
      <x:c r="G25" s="12" t="str">
        <x:v>W16</x:v>
      </x:c>
      <x:c r="H25" s="16" t="n">
        <x:v>1</x:v>
      </x:c>
      <x:c r="I25" s="16" t="n">
        <x:v>2</x:v>
      </x:c>
      <x:c r="J25" s="16" t="n">
        <x:v>3</x:v>
      </x:c>
      <x:c r="K25" s="25" t="n">
        <x:f>(H25+4*I25+J25)/6</x:f>
        <x:v>2</x:v>
      </x:c>
      <x:c r="L25" s="15" t="str">
        <x:v>未启动</x:v>
      </x:c>
      <x:c r="M25" s="15"/>
      <x:c r="N25" s="31"/>
      <x:c r="O25" s="31"/>
      <x:c r="P25" s="31"/>
      <x:c r="Q25" s="2" t="str">
        <x:f>IF(L25="已完成",IF(AND(N25&lt;&gt;"",O25&lt;&gt;"",P25&lt;&gt;""),"验收记录齐全","待补齐验收"),L25)</x:f>
        <x:v>未启动</x:v>
      </x:c>
    </x:row>
    <x:row r="26" ht="69" customHeight="1">
      <x:c r="A26" s="11" t="str">
        <x:v>W20</x:v>
      </x:c>
      <x:c r="B26" s="11" t="str">
        <x:v>M3</x:v>
      </x:c>
      <x:c r="C26" s="11" t="str">
        <x:v>QA</x:v>
      </x:c>
      <x:c r="D26" s="11" t="str">
        <x:v>技能和武器边界回归</x:v>
      </x:c>
      <x:c r="E26" s="11" t="str">
        <x:v>TC-01—24</x:v>
      </x:c>
      <x:c r="F26" s="11" t="str">
        <x:v>用例带候选构建号和证据，不沿用历史 PASS</x:v>
      </x:c>
      <x:c r="G26" s="11" t="str">
        <x:v>W16,W18</x:v>
      </x:c>
      <x:c r="H26" s="16" t="n">
        <x:v>2</x:v>
      </x:c>
      <x:c r="I26" s="16" t="n">
        <x:v>4</x:v>
      </x:c>
      <x:c r="J26" s="16" t="n">
        <x:v>6</x:v>
      </x:c>
      <x:c r="K26" s="26" t="n">
        <x:f>(H26+4*I26+J26)/6</x:f>
        <x:v>4</x:v>
      </x:c>
      <x:c r="L26" s="15" t="str">
        <x:v>未启动</x:v>
      </x:c>
      <x:c r="M26" s="15"/>
      <x:c r="N26" s="31"/>
      <x:c r="O26" s="31"/>
      <x:c r="P26" s="31"/>
      <x:c r="Q26" s="2" t="str">
        <x:f>IF(L26="已完成",IF(AND(N26&lt;&gt;"",O26&lt;&gt;"",P26&lt;&gt;""),"验收记录齐全","待补齐验收"),L26)</x:f>
        <x:v>未启动</x:v>
      </x:c>
    </x:row>
    <x:row r="27" ht="69" customHeight="1">
      <x:c r="A27" s="12" t="str">
        <x:v>W21</x:v>
      </x:c>
      <x:c r="B27" s="12" t="str">
        <x:v>M3</x:v>
      </x:c>
      <x:c r="C27" s="12" t="str">
        <x:v>QA</x:v>
      </x:c>
      <x:c r="D27" s="12" t="str">
        <x:v>六十配置入口矩阵</x:v>
      </x:c>
      <x:c r="E27" s="12" t="str">
        <x:v>MX-001—060</x:v>
      </x:c>
      <x:c r="F27" s="12" t="str">
        <x:v>每个职业枪械难度组合能正确锁定配置与施放</x:v>
      </x:c>
      <x:c r="G27" s="12" t="str">
        <x:v>W20</x:v>
      </x:c>
      <x:c r="H27" s="16" t="n">
        <x:v>1.5</x:v>
      </x:c>
      <x:c r="I27" s="16" t="n">
        <x:v>3</x:v>
      </x:c>
      <x:c r="J27" s="16" t="n">
        <x:v>5</x:v>
      </x:c>
      <x:c r="K27" s="25" t="n">
        <x:f>(H27+4*I27+J27)/6</x:f>
        <x:v>3.0833333333333335</x:v>
      </x:c>
      <x:c r="L27" s="15" t="str">
        <x:v>未启动</x:v>
      </x:c>
      <x:c r="M27" s="15"/>
      <x:c r="N27" s="31"/>
      <x:c r="O27" s="31"/>
      <x:c r="P27" s="31"/>
      <x:c r="Q27" s="2" t="str">
        <x:f>IF(L27="已完成",IF(AND(N27&lt;&gt;"",O27&lt;&gt;"",P27&lt;&gt;""),"验收记录齐全","待补齐验收"),L27)</x:f>
        <x:v>未启动</x:v>
      </x:c>
    </x:row>
    <x:row r="28" ht="69" customHeight="1">
      <x:c r="A28" s="11" t="str">
        <x:v>W22</x:v>
      </x:c>
      <x:c r="B28" s="11" t="str">
        <x:v>M3</x:v>
      </x:c>
      <x:c r="C28" s="11" t="str">
        <x:v>QA</x:v>
      </x:c>
      <x:c r="D28" s="11" t="str">
        <x:v>八关任务与结算回归</x:v>
      </x:c>
      <x:c r="E28" s="11" t="str">
        <x:v>TC-25—39</x:v>
      </x:c>
      <x:c r="F28" s="11" t="str">
        <x:v>包含两种终关目标顺序、暂停与失败拦截</x:v>
      </x:c>
      <x:c r="G28" s="11" t="str">
        <x:v>W20</x:v>
      </x:c>
      <x:c r="H28" s="16" t="n">
        <x:v>2</x:v>
      </x:c>
      <x:c r="I28" s="16" t="n">
        <x:v>4</x:v>
      </x:c>
      <x:c r="J28" s="16" t="n">
        <x:v>7</x:v>
      </x:c>
      <x:c r="K28" s="26" t="n">
        <x:f>(H28+4*I28+J28)/6</x:f>
        <x:v>4.166666666666667</x:v>
      </x:c>
      <x:c r="L28" s="15" t="str">
        <x:v>未启动</x:v>
      </x:c>
      <x:c r="M28" s="15"/>
      <x:c r="N28" s="31"/>
      <x:c r="O28" s="31"/>
      <x:c r="P28" s="31"/>
      <x:c r="Q28" s="2" t="str">
        <x:f>IF(L28="已完成",IF(AND(N28&lt;&gt;"",O28&lt;&gt;"",P28&lt;&gt;""),"验收记录齐全","待补齐验收"),L28)</x:f>
        <x:v>未启动</x:v>
      </x:c>
    </x:row>
    <x:row r="29" ht="69" customHeight="1">
      <x:c r="A29" s="12" t="str">
        <x:v>W23</x:v>
      </x:c>
      <x:c r="B29" s="12" t="str">
        <x:v>M3</x:v>
      </x:c>
      <x:c r="C29" s="12" t="str">
        <x:v>策划</x:v>
      </x:c>
      <x:c r="D29" s="12" t="str">
        <x:v>首次体验测试</x:v>
      </x:c>
      <x:c r="E29" s="12" t="str">
        <x:v>UX-01—04</x:v>
      </x:c>
      <x:c r="F29" s="12" t="str">
        <x:v>观察任务理解、机关试错与技能认识，原始记录可追溯</x:v>
      </x:c>
      <x:c r="G29" s="12" t="str">
        <x:v>W21,W22</x:v>
      </x:c>
      <x:c r="H29" s="16" t="n">
        <x:v>2</x:v>
      </x:c>
      <x:c r="I29" s="16" t="n">
        <x:v>3</x:v>
      </x:c>
      <x:c r="J29" s="16" t="n">
        <x:v>5</x:v>
      </x:c>
      <x:c r="K29" s="25" t="n">
        <x:f>(H29+4*I29+J29)/6</x:f>
        <x:v>3.1666666666666665</x:v>
      </x:c>
      <x:c r="L29" s="15" t="str">
        <x:v>未启动</x:v>
      </x:c>
      <x:c r="M29" s="15"/>
      <x:c r="N29" s="31"/>
      <x:c r="O29" s="31"/>
      <x:c r="P29" s="31"/>
      <x:c r="Q29" s="2" t="str">
        <x:f>IF(L29="已完成",IF(AND(N29&lt;&gt;"",O29&lt;&gt;"",P29&lt;&gt;""),"验收记录齐全","待补齐验收"),L29)</x:f>
        <x:v>未启动</x:v>
      </x:c>
    </x:row>
    <x:row r="30" ht="69" customHeight="1">
      <x:c r="A30" s="11" t="str">
        <x:v>W24</x:v>
      </x:c>
      <x:c r="B30" s="11" t="str">
        <x:v>M3</x:v>
      </x:c>
      <x:c r="C30" s="11" t="str">
        <x:v>策划</x:v>
      </x:c>
      <x:c r="D30" s="11" t="str">
        <x:v>平衡调整方案</x:v>
      </x:c>
      <x:c r="E30" s="11" t="str">
        <x:v>BAL-01—03</x:v>
      </x:c>
      <x:c r="F30" s="11" t="str">
        <x:v>比较同场景数据，记录每次数值改动及结果</x:v>
      </x:c>
      <x:c r="G30" s="11" t="str">
        <x:v>W23</x:v>
      </x:c>
      <x:c r="H30" s="16" t="n">
        <x:v>1</x:v>
      </x:c>
      <x:c r="I30" s="16" t="n">
        <x:v>2</x:v>
      </x:c>
      <x:c r="J30" s="16" t="n">
        <x:v>4</x:v>
      </x:c>
      <x:c r="K30" s="26" t="n">
        <x:f>(H30+4*I30+J30)/6</x:f>
        <x:v>2.1666666666666665</x:v>
      </x:c>
      <x:c r="L30" s="15" t="str">
        <x:v>未启动</x:v>
      </x:c>
      <x:c r="M30" s="15"/>
      <x:c r="N30" s="31"/>
      <x:c r="O30" s="31"/>
      <x:c r="P30" s="31"/>
      <x:c r="Q30" s="2" t="str">
        <x:f>IF(L30="已完成",IF(AND(N30&lt;&gt;"",O30&lt;&gt;"",P30&lt;&gt;""),"验收记录齐全","待补齐验收"),L30)</x:f>
        <x:v>未启动</x:v>
      </x:c>
    </x:row>
    <x:row r="31" ht="69" customHeight="1">
      <x:c r="A31" s="12" t="str">
        <x:v>W25</x:v>
      </x:c>
      <x:c r="B31" s="12" t="str">
        <x:v>M3</x:v>
      </x:c>
      <x:c r="C31" s="12" t="str">
        <x:v>程序</x:v>
      </x:c>
      <x:c r="D31" s="12" t="str">
        <x:v>修复与调参集成</x:v>
      </x:c>
      <x:c r="E31" s="12" t="str">
        <x:v>R01—R08</x:v>
      </x:c>
      <x:c r="F31" s="12" t="str">
        <x:v>按已批准结论修复并回归关联功能</x:v>
      </x:c>
      <x:c r="G31" s="12" t="str">
        <x:v>W24</x:v>
      </x:c>
      <x:c r="H31" s="16" t="n">
        <x:v>2</x:v>
      </x:c>
      <x:c r="I31" s="16" t="n">
        <x:v>4</x:v>
      </x:c>
      <x:c r="J31" s="16" t="n">
        <x:v>8</x:v>
      </x:c>
      <x:c r="K31" s="25" t="n">
        <x:f>(H31+4*I31+J31)/6</x:f>
        <x:v>4.333333333333333</x:v>
      </x:c>
      <x:c r="L31" s="15" t="str">
        <x:v>未启动</x:v>
      </x:c>
      <x:c r="M31" s="15"/>
      <x:c r="N31" s="31"/>
      <x:c r="O31" s="31"/>
      <x:c r="P31" s="31"/>
      <x:c r="Q31" s="2" t="str">
        <x:f>IF(L31="已完成",IF(AND(N31&lt;&gt;"",O31&lt;&gt;"",P31&lt;&gt;""),"验收记录齐全","待补齐验收"),L31)</x:f>
        <x:v>未启动</x:v>
      </x:c>
    </x:row>
    <x:row r="32" ht="69" customHeight="1">
      <x:c r="A32" s="11" t="str">
        <x:v>W26</x:v>
      </x:c>
      <x:c r="B32" s="11" t="str">
        <x:v>M3</x:v>
      </x:c>
      <x:c r="C32" s="11" t="str">
        <x:v>QA</x:v>
      </x:c>
      <x:c r="D32" s="11" t="str">
        <x:v>设备与性能测试</x:v>
      </x:c>
      <x:c r="E32" s="11" t="str">
        <x:v>PERF-01—05</x:v>
      </x:c>
      <x:c r="F32" s="11" t="str">
        <x:v>记录真实设备、分辨率、帧时间、加载时间和峰值内存</x:v>
      </x:c>
      <x:c r="G32" s="11" t="str">
        <x:v>W25</x:v>
      </x:c>
      <x:c r="H32" s="16" t="n">
        <x:v>2</x:v>
      </x:c>
      <x:c r="I32" s="16" t="n">
        <x:v>3</x:v>
      </x:c>
      <x:c r="J32" s="16" t="n">
        <x:v>6</x:v>
      </x:c>
      <x:c r="K32" s="26" t="n">
        <x:f>(H32+4*I32+J32)/6</x:f>
        <x:v>3.3333333333333335</x:v>
      </x:c>
      <x:c r="L32" s="15" t="str">
        <x:v>未启动</x:v>
      </x:c>
      <x:c r="M32" s="15"/>
      <x:c r="N32" s="31"/>
      <x:c r="O32" s="31"/>
      <x:c r="P32" s="31"/>
      <x:c r="Q32" s="2" t="str">
        <x:f>IF(L32="已完成",IF(AND(N32&lt;&gt;"",O32&lt;&gt;"",P32&lt;&gt;""),"验收记录齐全","待补齐验收"),L32)</x:f>
        <x:v>未启动</x:v>
      </x:c>
    </x:row>
    <x:row r="33" ht="69" customHeight="1">
      <x:c r="A33" s="12" t="str">
        <x:v>W27</x:v>
      </x:c>
      <x:c r="B33" s="12" t="str">
        <x:v>M4</x:v>
      </x:c>
      <x:c r="C33" s="12" t="str">
        <x:v>程序</x:v>
      </x:c>
      <x:c r="D33" s="12" t="str">
        <x:v>发布构建与版本归档</x:v>
      </x:c>
      <x:c r="E33" s="12" t="str">
        <x:v>REL-01—06</x:v>
      </x:c>
      <x:c r="F33" s="12" t="str">
        <x:v>两个平台同提交，包、资源清单和校验值完整</x:v>
      </x:c>
      <x:c r="G33" s="12" t="str">
        <x:v>W26</x:v>
      </x:c>
      <x:c r="H33" s="16" t="n">
        <x:v>1</x:v>
      </x:c>
      <x:c r="I33" s="16" t="n">
        <x:v>2</x:v>
      </x:c>
      <x:c r="J33" s="16" t="n">
        <x:v>4</x:v>
      </x:c>
      <x:c r="K33" s="25" t="n">
        <x:f>(H33+4*I33+J33)/6</x:f>
        <x:v>2.1666666666666665</x:v>
      </x:c>
      <x:c r="L33" s="15" t="str">
        <x:v>未启动</x:v>
      </x:c>
      <x:c r="M33" s="15"/>
      <x:c r="N33" s="31"/>
      <x:c r="O33" s="31"/>
      <x:c r="P33" s="31"/>
      <x:c r="Q33" s="2" t="str">
        <x:f>IF(L33="已完成",IF(AND(N33&lt;&gt;"",O33&lt;&gt;"",P33&lt;&gt;""),"验收记录齐全","待补齐验收"),L33)</x:f>
        <x:v>未启动</x:v>
      </x:c>
    </x:row>
    <x:row r="34" ht="69" customHeight="1">
      <x:c r="A34" s="11" t="str">
        <x:v>W28</x:v>
      </x:c>
      <x:c r="B34" s="11" t="str">
        <x:v>M4</x:v>
      </x:c>
      <x:c r="C34" s="11" t="str">
        <x:v>QA</x:v>
      </x:c>
      <x:c r="D34" s="11" t="str">
        <x:v>候选版本与回滚验证</x:v>
      </x:c>
      <x:c r="E34" s="11" t="str">
        <x:v>REL-04—06</x:v>
      </x:c>
      <x:c r="F34" s="11" t="str">
        <x:v>冷启动、存储异常、旧版本访问及回退均确认</x:v>
      </x:c>
      <x:c r="G34" s="11" t="str">
        <x:v>W27</x:v>
      </x:c>
      <x:c r="H34" s="16" t="n">
        <x:v>1</x:v>
      </x:c>
      <x:c r="I34" s="16" t="n">
        <x:v>2</x:v>
      </x:c>
      <x:c r="J34" s="16" t="n">
        <x:v>3</x:v>
      </x:c>
      <x:c r="K34" s="26" t="n">
        <x:f>(H34+4*I34+J34)/6</x:f>
        <x:v>2</x:v>
      </x:c>
      <x:c r="L34" s="15" t="str">
        <x:v>未启动</x:v>
      </x:c>
      <x:c r="M34" s="15"/>
      <x:c r="N34" s="31"/>
      <x:c r="O34" s="31"/>
      <x:c r="P34" s="31"/>
      <x:c r="Q34" s="2" t="str">
        <x:f>IF(L34="已完成",IF(AND(N34&lt;&gt;"",O34&lt;&gt;"",P34&lt;&gt;""),"验收记录齐全","待补齐验收"),L34)</x:f>
        <x:v>未启动</x:v>
      </x:c>
    </x:row>
    <x:row r="35" ht="69" customHeight="1">
      <x:c r="A35" s="12" t="str">
        <x:v>W29</x:v>
      </x:c>
      <x:c r="B35" s="12" t="str">
        <x:v>M4</x:v>
      </x:c>
      <x:c r="C35" s="12" t="str">
        <x:v>策划</x:v>
      </x:c>
      <x:c r="D35" s="12" t="str">
        <x:v>更新说明与发布评审</x:v>
      </x:c>
      <x:c r="E35" s="12" t="str">
        <x:v>REL-06</x:v>
      </x:c>
      <x:c r="F35" s="12" t="str">
        <x:v>实际变更、已知问题、许可与发布确认记录</x:v>
      </x:c>
      <x:c r="G35" s="12" t="str">
        <x:v>W28</x:v>
      </x:c>
      <x:c r="H35" s="16" t="n">
        <x:v>0.5</x:v>
      </x:c>
      <x:c r="I35" s="16" t="n">
        <x:v>1</x:v>
      </x:c>
      <x:c r="J35" s="16" t="n">
        <x:v>2</x:v>
      </x:c>
      <x:c r="K35" s="25" t="n">
        <x:f>(H35+4*I35+J35)/6</x:f>
        <x:v>1.0833333333333333</x:v>
      </x:c>
      <x:c r="L35" s="15" t="str">
        <x:v>未启动</x:v>
      </x:c>
      <x:c r="M35" s="15"/>
      <x:c r="N35" s="31"/>
      <x:c r="O35" s="31"/>
      <x:c r="P35" s="31"/>
      <x:c r="Q35" s="2" t="str">
        <x:f>IF(L35="已完成",IF(AND(N35&lt;&gt;"",O35&lt;&gt;"",P35&lt;&gt;""),"验收记录齐全","待补齐验收"),L35)</x:f>
        <x:v>未启动</x:v>
      </x:c>
    </x:row>
    <x:row r="36" ht="69" customHeight="1">
      <x:c r="A36" s="11" t="str">
        <x:v>W30</x:v>
      </x:c>
      <x:c r="B36" s="11" t="str">
        <x:v>M5</x:v>
      </x:c>
      <x:c r="C36" s="11" t="str">
        <x:v>策划</x:v>
      </x:c>
      <x:c r="D36" s="11" t="str">
        <x:v>反馈归档和补丁优先级</x:v>
      </x:c>
      <x:c r="E36" s="11" t="str">
        <x:v>OPS-01</x:v>
      </x:c>
      <x:c r="F36" s="11" t="str">
        <x:v>按版本与严重度归档，不把个别印象直接当全局结论</x:v>
      </x:c>
      <x:c r="G36" s="11" t="str">
        <x:v>W29</x:v>
      </x:c>
      <x:c r="H36" s="16" t="n">
        <x:v>1</x:v>
      </x:c>
      <x:c r="I36" s="16" t="n">
        <x:v>2</x:v>
      </x:c>
      <x:c r="J36" s="16" t="n">
        <x:v>3</x:v>
      </x:c>
      <x:c r="K36" s="26" t="n">
        <x:f>(H36+4*I36+J36)/6</x:f>
        <x:v>2</x:v>
      </x:c>
      <x:c r="L36" s="15" t="str">
        <x:v>未启动</x:v>
      </x:c>
      <x:c r="M36" s="15"/>
      <x:c r="N36" s="31"/>
      <x:c r="O36" s="31"/>
      <x:c r="P36" s="31"/>
      <x:c r="Q36" s="2" t="str">
        <x:f>IF(L36="已完成",IF(AND(N36&lt;&gt;"",O36&lt;&gt;"",P36&lt;&gt;""),"验收记录齐全","待补齐验收"),L36)</x:f>
        <x:v>未启动</x:v>
      </x:c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8" customHeight="1">
      <x:c r="A39" s="14" t="str">
        <x:v>岗位负荷与产能输入</x:v>
      </x:c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2"/>
      <x:c r="O39" s="2"/>
      <x:c r="P39" s="2"/>
      <x:c r="Q39" s="2"/>
    </x:row>
    <x:row r="40" ht="32" customHeight="1">
      <x:c r="A40" s="9" t="str">
        <x:v>岗位</x:v>
      </x:c>
      <x:c r="B40" s="9" t="str">
        <x:v>期望人日</x:v>
      </x:c>
      <x:c r="C40" s="9" t="str">
        <x:v>每周可用人日</x:v>
      </x:c>
      <x:c r="D40" s="9" t="str">
        <x:v>纯产能周数</x:v>
      </x:c>
      <x:c r="E40" s="9" t="str">
        <x:v>人日成本</x:v>
      </x:c>
      <x:c r="F40" s="9" t="str">
        <x:v>粗估人工成本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38" customHeight="1">
      <x:c r="A41" s="12" t="str">
        <x:v>策划</x:v>
      </x:c>
      <x:c r="B41" s="25" t="n">
        <x:f>SUMIFS($K$7:$K$36,$C$7:$C$36,A41)</x:f>
        <x:v>19.083333333333332</x:v>
      </x:c>
      <x:c r="C41" s="16"/>
      <x:c r="D41" s="25" t="str">
        <x:f>IF(ISNUMBER(C41),IF(C41&gt;0,B41/C41,"无产能"),"待填产能")</x:f>
        <x:v>待填产能</x:v>
      </x:c>
      <x:c r="E41" s="16"/>
      <x:c r="F41" s="35" t="str">
        <x:f>IF(ISNUMBER(E41),B41*E41,"待填成本")</x:f>
        <x:v>待填成本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38" customHeight="1">
      <x:c r="A42" s="11" t="str">
        <x:v>程序</x:v>
      </x:c>
      <x:c r="B42" s="26" t="n">
        <x:f>SUMIFS($K$7:$K$36,$C$7:$C$36,A42)</x:f>
        <x:v>26.25</x:v>
      </x:c>
      <x:c r="C42" s="16"/>
      <x:c r="D42" s="26" t="str">
        <x:f>IF(ISNUMBER(C42),IF(C42&gt;0,B42/C42,"无产能"),"待填产能")</x:f>
        <x:v>待填产能</x:v>
      </x:c>
      <x:c r="E42" s="16"/>
      <x:c r="F42" s="36" t="str">
        <x:f>IF(ISNUMBER(E42),B42*E42,"待填成本")</x:f>
        <x:v>待填成本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38" customHeight="1">
      <x:c r="A43" s="12" t="str">
        <x:v>美术</x:v>
      </x:c>
      <x:c r="B43" s="25" t="n">
        <x:f>SUMIFS($K$7:$K$36,$C$7:$C$36,A43)</x:f>
        <x:v>21.666666666666668</x:v>
      </x:c>
      <x:c r="C43" s="16"/>
      <x:c r="D43" s="25" t="str">
        <x:f>IF(ISNUMBER(C43),IF(C43&gt;0,B43/C43,"无产能"),"待填产能")</x:f>
        <x:v>待填产能</x:v>
      </x:c>
      <x:c r="E43" s="16"/>
      <x:c r="F43" s="35" t="str">
        <x:f>IF(ISNUMBER(E43),B43*E43,"待填成本")</x:f>
        <x:v>待填成本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38" customHeight="1">
      <x:c r="A44" s="11" t="str">
        <x:v>音频</x:v>
      </x:c>
      <x:c r="B44" s="26" t="n">
        <x:f>SUMIFS($K$7:$K$36,$C$7:$C$36,A44)</x:f>
        <x:v>3.0833333333333335</x:v>
      </x:c>
      <x:c r="C44" s="16"/>
      <x:c r="D44" s="26" t="str">
        <x:f>IF(ISNUMBER(C44),IF(C44&gt;0,B44/C44,"无产能"),"待填产能")</x:f>
        <x:v>待填产能</x:v>
      </x:c>
      <x:c r="E44" s="16"/>
      <x:c r="F44" s="36" t="str">
        <x:f>IF(ISNUMBER(E44),B44*E44,"待填成本")</x:f>
        <x:v>待填成本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38" customHeight="1">
      <x:c r="A45" s="12" t="str">
        <x:v>QA</x:v>
      </x:c>
      <x:c r="B45" s="25" t="n">
        <x:f>SUMIFS($K$7:$K$36,$C$7:$C$36,A45)</x:f>
        <x:v>21.75</x:v>
      </x:c>
      <x:c r="C45" s="16"/>
      <x:c r="D45" s="25" t="str">
        <x:f>IF(ISNUMBER(C45),IF(C45&gt;0,B45/C45,"无产能"),"待填产能")</x:f>
        <x:v>待填产能</x:v>
      </x:c>
      <x:c r="E45" s="16"/>
      <x:c r="F45" s="35" t="str">
        <x:f>IF(ISNUMBER(E45),B45*E45,"待填成本")</x:f>
        <x:v>待填成本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4" customHeight="1">
      <x:c r="A48" s="19" t="str">
        <x:v>每周可用人日应扣除会议、维护和其他项目占用。纯产能周数未考虑前置依赖、兼岗冲突和返工，不能当成日历工期。实际人员、假期、费率与外包报价齐备后，制作人再冻结排期和预算。</x:v>
      </x:c>
      <x:c r="B48" s="19"/>
      <x:c r="C48" s="19"/>
      <x:c r="D48" s="19"/>
      <x:c r="E48" s="19"/>
      <x:c r="F48" s="19"/>
      <x:c r="G48" s="19"/>
      <x:c r="H48" s="19"/>
      <x:c r="I48" s="19"/>
      <x:c r="J48" s="2"/>
      <x:c r="K48" s="2"/>
      <x:c r="L48" s="2"/>
      <x:c r="M48" s="2"/>
      <x:c r="N48" s="2"/>
      <x:c r="O48" s="2"/>
      <x:c r="P48" s="2"/>
      <x:c r="Q48" s="2"/>
    </x:row>
    <x:row r="49" ht="24" customHeight="1">
      <x:c r="A49" s="19"/>
      <x:c r="B49" s="19"/>
      <x:c r="C49" s="19"/>
      <x:c r="D49" s="19"/>
      <x:c r="E49" s="19"/>
      <x:c r="F49" s="19"/>
      <x:c r="G49" s="19"/>
      <x:c r="H49" s="19"/>
      <x:c r="I49" s="19"/>
      <x:c r="J49" s="2"/>
      <x:c r="K49" s="2"/>
      <x:c r="L49" s="2"/>
      <x:c r="M49" s="2"/>
      <x:c r="N49" s="2"/>
      <x:c r="O49" s="2"/>
      <x:c r="P49" s="2"/>
      <x:c r="Q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</x:sheetData>
  <x:mergeCells>
    <x:mergeCell ref="A48:I49"/>
  </x:mergeCells>
  <x:conditionalFormatting sqref="H7:J36">
    <x:cfRule type="expression" dxfId="1" priority="1">
      <x:formula>OR($H7&lt;0,$H7&gt;$I7,$I7&gt;$J7)</x:formula>
    </x:cfRule>
  </x:conditionalFormatting>
  <x:dataValidations count="1">
    <x:dataValidation type="list" sqref="L7:L36">
      <x:formula1>"未启动,进行中,待验收,已完成,阻塞"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257A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.380000114440918" hidden="0" customWidth="1"/>
    <x:col min="2" max="2" width="10.630000114440918" hidden="0" customWidth="1"/>
    <x:col min="3" max="3" width="12.5" hidden="0" customWidth="1"/>
    <x:col min="4" max="4" width="35" hidden="0" customWidth="1"/>
    <x:col min="5" max="5" width="42.5" hidden="0" customWidth="1"/>
    <x:col min="6" max="6" width="30" hidden="0" customWidth="1"/>
    <x:col min="7" max="7" width="2.75" hidden="0" customWidth="1"/>
    <x:col min="8" max="8" width="12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后续迭代与验收清单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本页为建议排期，不代表已完成。黄色状态单元格可由制作人员维护。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9" t="str">
        <x:v>优先级</x:v>
      </x:c>
      <x:c r="B6" s="9" t="str">
        <x:v>状态</x:v>
      </x:c>
      <x:c r="C6" s="9" t="str">
        <x:v>主题</x:v>
      </x:c>
      <x:c r="D6" s="9" t="str">
        <x:v>工作项</x:v>
      </x:c>
      <x:c r="E6" s="9" t="str">
        <x:v>验收标准</x:v>
      </x:c>
      <x:c r="F6" s="9" t="str">
        <x:v>依赖与范围</x:v>
      </x:c>
      <x:c r="G6" s="9" t="str"/>
      <x:c r="H6" s="9" t="str">
        <x:v>性质</x:v>
      </x:c>
    </x:row>
    <x:row r="7" ht="58" customHeight="1">
      <x:c r="A7" s="12" t="str">
        <x:v>P0</x:v>
      </x:c>
      <x:c r="B7" s="15" t="str">
        <x:v>待开始</x:v>
      </x:c>
      <x:c r="C7" s="12" t="str">
        <x:v>体验回归</x:v>
      </x:c>
      <x:c r="D7" s="12" t="str">
        <x:v>完成四职业与五枪的八关人工通关矩阵</x:v>
      </x:c>
      <x:c r="E7" s="12" t="str">
        <x:v>所有组合均可完成任务；记录卡点、耗时、死亡原因与操作设备。</x:v>
      </x:c>
      <x:c r="F7" s="12" t="str">
        <x:v>先明确测试路线与记录表</x:v>
      </x:c>
      <x:c r="G7" s="12" t="str"/>
      <x:c r="H7" s="12" t="str">
        <x:v>建议</x:v>
      </x:c>
    </x:row>
    <x:row r="8" ht="58" customHeight="1">
      <x:c r="A8" s="11" t="str">
        <x:v>P0</x:v>
      </x:c>
      <x:c r="B8" s="15" t="str">
        <x:v>待开始</x:v>
      </x:c>
      <x:c r="C8" s="11" t="str">
        <x:v>技能平衡</x:v>
      </x:c>
      <x:c r="D8" s="11" t="str">
        <x:v>重点评估侦察兵 6 秒冷却后的收益</x:v>
      </x:c>
      <x:c r="E8" s="11" t="str">
        <x:v>分别记录标记覆盖、新敌人补标、Boss 战收益与其他职业使用率。</x:v>
      </x:c>
      <x:c r="F8" s="11" t="str">
        <x:v>保持当前 6 秒配置作为测试基线</x:v>
      </x:c>
      <x:c r="G8" s="11" t="str"/>
      <x:c r="H8" s="11" t="str">
        <x:v>建议</x:v>
      </x:c>
    </x:row>
    <x:row r="9" ht="58" customHeight="1">
      <x:c r="A9" s="12" t="str">
        <x:v>P0</x:v>
      </x:c>
      <x:c r="B9" s="15" t="str">
        <x:v>待开始</x:v>
      </x:c>
      <x:c r="C9" s="12" t="str">
        <x:v>机关引导</x:v>
      </x:c>
      <x:c r="D9" s="12" t="str">
        <x:v>验证配电迷阵与终关机关能独立读懂</x:v>
      </x:c>
      <x:c r="E9" s="12" t="str">
        <x:v>首次试玩者能找到机关提示；错误后理解重置原因，不依赖口头说明。</x:v>
      </x:c>
      <x:c r="F9" s="12" t="str">
        <x:v>保留真实任务顺序和颜色状态</x:v>
      </x:c>
      <x:c r="G9" s="12" t="str"/>
      <x:c r="H9" s="12" t="str">
        <x:v>建议</x:v>
      </x:c>
    </x:row>
    <x:row r="10" ht="58" customHeight="1">
      <x:c r="A10" s="11" t="str">
        <x:v>P0</x:v>
      </x:c>
      <x:c r="B10" s="15" t="str">
        <x:v>待开始</x:v>
      </x:c>
      <x:c r="C10" s="11" t="str">
        <x:v>兼容与发布</x:v>
      </x:c>
      <x:c r="D10" s="11" t="str">
        <x:v>每次发布同时检查桌面与 WebGL</x:v>
      </x:c>
      <x:c r="E10" s="11" t="str">
        <x:v>中文、键鼠焦点、首次加载、暂停和八关结算正常；新旧版本可切换。</x:v>
      </x:c>
      <x:c r="F10" s="11" t="str">
        <x:v>完整构建与资源校验</x:v>
      </x:c>
      <x:c r="G10" s="11" t="str"/>
      <x:c r="H10" s="11" t="str">
        <x:v>建议</x:v>
      </x:c>
    </x:row>
    <x:row r="11" ht="58" customHeight="1">
      <x:c r="A11" s="12" t="str">
        <x:v>P1</x:v>
      </x:c>
      <x:c r="B11" s="15" t="str">
        <x:v>待开始</x:v>
      </x:c>
      <x:c r="C11" s="12" t="str">
        <x:v>战斗反馈</x:v>
      </x:c>
      <x:c r="D11" s="12" t="str">
        <x:v>补充施法、受击、落地和死亡动作</x:v>
      </x:c>
      <x:c r="E11" s="12" t="str">
        <x:v>动作不延迟输入；各职业技能释放时可区分，反馈不遮挡弹幕。</x:v>
      </x:c>
      <x:c r="F11" s="12" t="str">
        <x:v>保留当前角色剪影与局部坐标枪械旋转</x:v>
      </x:c>
      <x:c r="G11" s="12" t="str"/>
      <x:c r="H11" s="12" t="str">
        <x:v>建议</x:v>
      </x:c>
    </x:row>
    <x:row r="12" ht="58" customHeight="1">
      <x:c r="A12" s="11" t="str">
        <x:v>P1</x:v>
      </x:c>
      <x:c r="B12" s="15" t="str">
        <x:v>待开始</x:v>
      </x:c>
      <x:c r="C12" s="11" t="str">
        <x:v>敌人设计</x:v>
      </x:c>
      <x:c r="D12" s="11" t="str">
        <x:v>为普通敌人与 Boss 增加清晰攻击前摇</x:v>
      </x:c>
      <x:c r="E12" s="11" t="str">
        <x:v>玩家能在伤害前识别攻击方向；前摇与实际判定一致。</x:v>
      </x:c>
      <x:c r="F12" s="11" t="str">
        <x:v>先确定动画和音效制作规范</x:v>
      </x:c>
      <x:c r="G12" s="11" t="str"/>
      <x:c r="H12" s="11" t="str">
        <x:v>建议</x:v>
      </x:c>
    </x:row>
    <x:row r="13" ht="58" customHeight="1">
      <x:c r="A13" s="12" t="str">
        <x:v>P1</x:v>
      </x:c>
      <x:c r="B13" s="15" t="str">
        <x:v>待开始</x:v>
      </x:c>
      <x:c r="C13" s="12" t="str">
        <x:v>强化平衡</x:v>
      </x:c>
      <x:c r="D13" s="12" t="str">
        <x:v>评估分裂弹道、射速与机枪热量的组合</x:v>
      </x:c>
      <x:c r="E13" s="12" t="str">
        <x:v>比较近远距离与 Boss 场景，不只看理论 DPS；记录强度极端组合。</x:v>
      </x:c>
      <x:c r="F13" s="12" t="str">
        <x:v>保留单枪固定选择规则</x:v>
      </x:c>
      <x:c r="G13" s="12" t="str"/>
      <x:c r="H13" s="12" t="str">
        <x:v>建议</x:v>
      </x:c>
    </x:row>
    <x:row r="14" ht="58" customHeight="1">
      <x:c r="A14" s="11" t="str">
        <x:v>P1</x:v>
      </x:c>
      <x:c r="B14" s="15" t="str">
        <x:v>待开始</x:v>
      </x:c>
      <x:c r="C14" s="11" t="str">
        <x:v>内容编辑</x:v>
      </x:c>
      <x:c r="D14" s="11" t="str">
        <x:v>由非程序人员完成一次真实关卡修改</x:v>
      </x:c>
      <x:c r="E14" s="11" t="str">
        <x:v>在 Scene 移动平台和出口、Inspector 调参后保存重开，实际运行生效。</x:v>
      </x:c>
      <x:c r="F14" s="11" t="str">
        <x:v>使用关卡工作台，不覆盖人工资源</x:v>
      </x:c>
      <x:c r="G14" s="11" t="str"/>
      <x:c r="H14" s="11" t="str">
        <x:v>建议</x:v>
      </x:c>
    </x:row>
    <x:row r="15" ht="58" customHeight="1">
      <x:c r="A15" s="12" t="str">
        <x:v>P2</x:v>
      </x:c>
      <x:c r="B15" s="15" t="str">
        <x:v>待开始</x:v>
      </x:c>
      <x:c r="C15" s="12" t="str">
        <x:v>叙事与动机</x:v>
      </x:c>
      <x:c r="D15" s="12" t="str">
        <x:v>将数据回收、天线与停机串成任务线</x:v>
      </x:c>
      <x:c r="E15" s="12" t="str">
        <x:v>每关进场一句任务说明，完成后有对应结果反馈，支持跳过。</x:v>
      </x:c>
      <x:c r="F15" s="12" t="str">
        <x:v>叙事提案需先确认文案</x:v>
      </x:c>
      <x:c r="G15" s="12" t="str"/>
      <x:c r="H15" s="12" t="str">
        <x:v>建议</x:v>
      </x:c>
    </x:row>
    <x:row r="16" ht="58" customHeight="1">
      <x:c r="A16" s="11" t="str">
        <x:v>P2</x:v>
      </x:c>
      <x:c r="B16" s="15" t="str">
        <x:v>待开始</x:v>
      </x:c>
      <x:c r="C16" s="11" t="str">
        <x:v>关卡扩展</x:v>
      </x:c>
      <x:c r="D16" s="11" t="str">
        <x:v>在八关打磨后再设计支线或挑战关</x:v>
      </x:c>
      <x:c r="E16" s="11" t="str">
        <x:v>新增任务应有新的决策或路线，不只增加敌人生命。</x:v>
      </x:c>
      <x:c r="F16" s="11" t="str">
        <x:v>先完成 P0 体验验证</x:v>
      </x:c>
      <x:c r="G16" s="11" t="str"/>
      <x:c r="H16" s="11" t="str">
        <x:v>建议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8" customHeight="1">
      <x:c r="A19" s="14" t="str">
        <x:v>已覆盖的自动验证与边界</x:v>
      </x:c>
      <x:c r="B19" s="13"/>
      <x:c r="C19" s="13"/>
      <x:c r="D19" s="13"/>
      <x:c r="E19" s="13"/>
      <x:c r="F19" s="13"/>
      <x:c r="G19" s="13"/>
      <x:c r="H19" s="13"/>
    </x:row>
    <x:row r="20" ht="32" customHeight="1">
      <x:c r="A20" s="9" t="str">
        <x:v>类别</x:v>
      </x:c>
      <x:c r="B20" s="9" t="str">
        <x:v>现有覆盖</x:v>
      </x:c>
      <x:c r="C20" s="9"/>
      <x:c r="D20" s="9"/>
      <x:c r="E20" s="9" t="str">
        <x:v>仍需人工验证</x:v>
      </x:c>
      <x:c r="F20" s="9"/>
      <x:c r="G20" s="9"/>
      <x:c r="H20" s="9"/>
    </x:row>
    <x:row r="21" ht="46" customHeight="1">
      <x:c r="A21" s="12" t="str">
        <x:v>战斗</x:v>
      </x:c>
      <x:c r="B21" s="12" t="str">
        <x:v>五枪发射命中、穿透、过热、四职业技能与伤害、6 秒冷却边界</x:v>
      </x:c>
      <x:c r="C21" s="12"/>
      <x:c r="D21" s="12"/>
      <x:c r="E21" s="12" t="str">
        <x:v>射击手感、难度曲线与技能强弱</x:v>
      </x:c>
      <x:c r="F21" s="12"/>
      <x:c r="G21" s="12"/>
      <x:c r="H21" s="12"/>
    </x:row>
    <x:row r="22" ht="46" customHeight="1">
      <x:c r="A22" s="11" t="str">
        <x:v>关卡</x:v>
      </x:c>
      <x:c r="B22" s="11" t="str">
        <x:v>八关目标、收集与机关、门锁、多方向出口、终关两种完成顺序</x:v>
      </x:c>
      <x:c r="C22" s="11"/>
      <x:c r="D22" s="11"/>
      <x:c r="E22" s="11" t="str">
        <x:v>首见可读性、平台路线与任务节奏</x:v>
      </x:c>
      <x:c r="F22" s="11"/>
      <x:c r="G22" s="11"/>
      <x:c r="H22" s="11"/>
    </x:row>
    <x:row r="23" ht="46" customHeight="1">
      <x:c r="A23" s="12" t="str">
        <x:v>显示</x:v>
      </x:c>
      <x:c r="B23" s="12" t="str">
        <x:v>六种窗口尺寸、300 个瞄准姿态、背景与机关状态</x:v>
      </x:c>
      <x:c r="C23" s="12"/>
      <x:c r="D23" s="12"/>
      <x:c r="E23" s="12" t="str">
        <x:v>不同显示器和浏览器上的视觉效果</x:v>
      </x:c>
      <x:c r="F23" s="12"/>
      <x:c r="G23" s="12"/>
      <x:c r="H23" s="12"/>
    </x:row>
    <x:row r="24" ht="46" customHeight="1">
      <x:c r="A24" s="11" t="str">
        <x:v>编辑</x:v>
      </x:c>
      <x:c r="B24" s="11" t="str">
        <x:v>Prefab 编辑保存重载，真实布局与数值变更生效</x:v>
      </x:c>
      <x:c r="C24" s="11"/>
      <x:c r="D24" s="11"/>
      <x:c r="E24" s="11" t="str">
        <x:v>非程序人员编辑工作流是否顺畅</x:v>
      </x:c>
      <x:c r="F24" s="11"/>
      <x:c r="G24" s="11"/>
      <x:c r="H24" s="11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</x:sheetData>
  <x:mergeCells>
    <x:mergeCell ref="B20:D20"/>
    <x:mergeCell ref="E20:H20"/>
    <x:mergeCell ref="B21:D21"/>
    <x:mergeCell ref="E21:H21"/>
    <x:mergeCell ref="B22:D22"/>
    <x:mergeCell ref="E22:H22"/>
    <x:mergeCell ref="B23:D23"/>
    <x:mergeCell ref="E23:H23"/>
    <x:mergeCell ref="B24:D24"/>
    <x:mergeCell ref="E24:H24"/>
  </x:mergeCells>
  <x:conditionalFormatting sqref="B7:B16">
    <x:cfRule type="containsText" dxfId="0" priority="1" operator="containsText" text="已完成"/>
  </x:conditionalFormatting>
  <x:dataValidations count="1">
    <x:dataValidation type="list" sqref="B7:B16">
      <x:formula1>"待开始,进行中,待验收,已完成"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630000114440918" hidden="0" customWidth="1"/>
    <x:col min="2" max="2" width="15" hidden="0" customWidth="1"/>
    <x:col min="3" max="3" width="8.130000114440918" hidden="0" customWidth="1"/>
    <x:col min="4" max="4" width="30" hidden="0" customWidth="1"/>
    <x:col min="5" max="5" width="34.380001068115234" hidden="0" customWidth="1"/>
    <x:col min="6" max="6" width="38.75" hidden="0" customWidth="1"/>
    <x:col min="7" max="7" width="14.380000114440918" hidden="0" customWidth="1"/>
    <x:col min="8" max="8" width="15" hidden="0" customWidth="1"/>
    <x:col min="9" max="9" width="20" hidden="0" customWidth="1"/>
    <x:col min="10" max="10" width="21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可执行测试用例与证据记录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5" t="str">
        <x:v>42 项用例是待执行的回归计划，结果默认未执行。历史自动断言仅作依据，不代表本轮候选包已通过。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9" t="str">
        <x:v>用例</x:v>
      </x:c>
      <x:c r="B6" s="9" t="str">
        <x:v>需求</x:v>
      </x:c>
      <x:c r="C6" s="9" t="str">
        <x:v>级别</x:v>
      </x:c>
      <x:c r="D6" s="9" t="str">
        <x:v>前置数据</x:v>
      </x:c>
      <x:c r="E6" s="9" t="str">
        <x:v>操作步骤</x:v>
      </x:c>
      <x:c r="F6" s="9" t="str">
        <x:v>预期结果</x:v>
      </x:c>
      <x:c r="G6" s="9" t="str">
        <x:v>类别</x:v>
      </x:c>
      <x:c r="H6" s="9" t="str">
        <x:v>结果</x:v>
      </x:c>
      <x:c r="I6" s="9" t="str">
        <x:v>候选构建号</x:v>
      </x:c>
      <x:c r="J6" s="9" t="str">
        <x:v>证据或缺陷号</x:v>
      </x:c>
    </x:row>
    <x:row r="7" ht="75" customHeight="1">
      <x:c r="A7" s="12" t="str">
        <x:v>TC-01</x:v>
      </x:c>
      <x:c r="B7" s="12" t="str">
        <x:v>SKL-04</x:v>
      </x:c>
      <x:c r="C7" s="12" t="str">
        <x:v>P0</x:v>
      </x:c>
      <x:c r="D7" s="12" t="str">
        <x:v>侦察可用，放一近一远敌人</x:v>
      </x:c>
      <x:c r="E7" s="12" t="str">
        <x:v>按 Q，观察现有敌人</x:v>
      </x:c>
      <x:c r="F7" s="12" t="str">
        <x:v>只标记 14 单位内敌人，位置、速度、无敌时间不变</x:v>
      </x:c>
      <x:c r="G7" s="12" t="str">
        <x:v>战斗</x:v>
      </x:c>
      <x:c r="H7" s="15" t="str">
        <x:v>未执行</x:v>
      </x:c>
      <x:c r="I7" s="15"/>
      <x:c r="J7" s="15"/>
    </x:row>
    <x:row r="8" ht="75" customHeight="1">
      <x:c r="A8" s="11" t="str">
        <x:v>TC-02</x:v>
      </x:c>
      <x:c r="B8" s="11" t="str">
        <x:v>SKL-04</x:v>
      </x:c>
      <x:c r="C8" s="11" t="str">
        <x:v>P0</x:v>
      </x:c>
      <x:c r="D8" s="11" t="str">
        <x:v>已施放；由现有自动断言夹具设置clock为5.999</x:v>
      </x:c>
      <x:c r="E8" s="11" t="str">
        <x:v>运行--neon-smoke并检查冷却边界断言，不以人工秒表替代精确时钟测试</x:v>
      </x:c>
      <x:c r="F8" s="11" t="str">
        <x:v>不重置标记，不提前再次施放；记录候选构建及runtime-validation报告</x:v>
      </x:c>
      <x:c r="G8" s="11" t="str">
        <x:v>边界</x:v>
      </x:c>
      <x:c r="H8" s="15" t="str">
        <x:v>未执行</x:v>
      </x:c>
      <x:c r="I8" s="15"/>
      <x:c r="J8" s="15"/>
    </x:row>
    <x:row r="9" ht="75" customHeight="1">
      <x:c r="A9" s="12" t="str">
        <x:v>TC-03</x:v>
      </x:c>
      <x:c r="B9" s="12" t="str">
        <x:v>SKL-04</x:v>
      </x:c>
      <x:c r="C9" s="12" t="str">
        <x:v>P0</x:v>
      </x:c>
      <x:c r="D9" s="12" t="str">
        <x:v>已施放；由现有自动断言夹具设置clock为6</x:v>
      </x:c>
      <x:c r="E9" s="12" t="str">
        <x:v>运行--neon-smoke，复核第6秒UseSkill断言和技能反馈</x:v>
      </x:c>
      <x:c r="F9" s="12" t="str">
        <x:v>成功施放，下一次就绪为第12秒；人工只复核显示和手感</x:v>
      </x:c>
      <x:c r="G9" s="12" t="str">
        <x:v>边界</x:v>
      </x:c>
      <x:c r="H9" s="15" t="str">
        <x:v>未执行</x:v>
      </x:c>
      <x:c r="I9" s="15"/>
      <x:c r="J9" s="15"/>
    </x:row>
    <x:row r="10" ht="75" customHeight="1">
      <x:c r="A10" s="11" t="str">
        <x:v>TC-04</x:v>
      </x:c>
      <x:c r="B10" s="11" t="str">
        <x:v>SKL-04</x:v>
      </x:c>
      <x:c r="C10" s="11" t="str">
        <x:v>P1</x:v>
      </x:c>
      <x:c r="D10" s="11" t="str">
        <x:v>扫描后生成范围内新敌人</x:v>
      </x:c>
      <x:c r="E10" s="11" t="str">
        <x:v>不重施直接射击该敌人</x:v>
      </x:c>
      <x:c r="F10" s="11" t="str">
        <x:v>新敌人没有标记与扫描增伤</x:v>
      </x:c>
      <x:c r="G10" s="11" t="str">
        <x:v>战斗</x:v>
      </x:c>
      <x:c r="H10" s="15" t="str">
        <x:v>未执行</x:v>
      </x:c>
      <x:c r="I10" s="15"/>
      <x:c r="J10" s="15"/>
    </x:row>
    <x:row r="11" ht="75" customHeight="1">
      <x:c r="A11" s="12" t="str">
        <x:v>TC-05</x:v>
      </x:c>
      <x:c r="B11" s="12" t="str">
        <x:v>SKL-04</x:v>
      </x:c>
      <x:c r="C11" s="12" t="str">
        <x:v>P1</x:v>
      </x:c>
      <x:c r="D11" s="12" t="str">
        <x:v>已标记敌人移动出扫描半径</x:v>
      </x:c>
      <x:c r="E11" s="12" t="str">
        <x:v>在标记到期前命中</x:v>
      </x:c>
      <x:c r="F11" s="12" t="str">
        <x:v>仍享受标记，直到原到期时间</x:v>
      </x:c>
      <x:c r="G11" s="12" t="str">
        <x:v>边界</x:v>
      </x:c>
      <x:c r="H11" s="15" t="str">
        <x:v>未执行</x:v>
      </x:c>
      <x:c r="I11" s="15"/>
      <x:c r="J11" s="15"/>
    </x:row>
    <x:row r="12" ht="75" customHeight="1">
      <x:c r="A12" s="11" t="str">
        <x:v>TC-06</x:v>
      </x:c>
      <x:c r="B12" s="11" t="str">
        <x:v>DMG-02</x:v>
      </x:c>
      <x:c r="C12" s="11" t="str">
        <x:v>P0</x:v>
      </x:c>
      <x:c r="D12" s="11" t="str">
        <x:v>基础步枪命中标记与未标记敌人</x:v>
      </x:c>
      <x:c r="E12" s="11" t="str">
        <x:v>各发一弹</x:v>
      </x:c>
      <x:c r="F12" s="11" t="str">
        <x:v>标记伤害 24，普通伤害 16，炮台不增加</x:v>
      </x:c>
      <x:c r="G12" s="11" t="str">
        <x:v>数值</x:v>
      </x:c>
      <x:c r="H12" s="15" t="str">
        <x:v>未执行</x:v>
      </x:c>
      <x:c r="I12" s="15"/>
      <x:c r="J12" s="15"/>
    </x:row>
    <x:row r="13" ht="75" customHeight="1">
      <x:c r="A13" s="12" t="str">
        <x:v>TC-07</x:v>
      </x:c>
      <x:c r="B13" s="12" t="str">
        <x:v>DMG-02</x:v>
      </x:c>
      <x:c r="C13" s="12" t="str">
        <x:v>P1</x:v>
      </x:c>
      <x:c r="D13" s="12" t="str">
        <x:v>霰弹、扫描及确定行进距离</x:v>
      </x:c>
      <x:c r="E13" s="12" t="str">
        <x:v>记录每弹伤害</x:v>
      </x:c>
      <x:c r="F13" s="12" t="str">
        <x:v>先衰减取整再扫描取整，Unity 半值取整需实测</x:v>
      </x:c>
      <x:c r="G13" s="12" t="str">
        <x:v>数值</x:v>
      </x:c>
      <x:c r="H13" s="15" t="str">
        <x:v>未执行</x:v>
      </x:c>
      <x:c r="I13" s="15"/>
      <x:c r="J13" s="15"/>
    </x:row>
    <x:row r="14" ht="75" customHeight="1">
      <x:c r="A14" s="11" t="str">
        <x:v>TC-08</x:v>
      </x:c>
      <x:c r="B14" s="11" t="str">
        <x:v>SKL-01</x:v>
      </x:c>
      <x:c r="C14" s="11" t="str">
        <x:v>P0</x:v>
      </x:c>
      <x:c r="D14" s="11" t="str">
        <x:v>突击兵，依次选择五种枪械</x:v>
      </x:c>
      <x:c r="E14" s="11" t="str">
        <x:v>开启技能射击，等持续结束</x:v>
      </x:c>
      <x:c r="F14" s="11" t="str">
        <x:v>双枪口同步，两份各自弹丸，结束恢复单枪</x:v>
      </x:c>
      <x:c r="G14" s="11" t="str">
        <x:v>配置循环</x:v>
      </x:c>
      <x:c r="H14" s="15" t="str">
        <x:v>未执行</x:v>
      </x:c>
      <x:c r="I14" s="15"/>
      <x:c r="J14" s="15"/>
    </x:row>
    <x:row r="15" ht="75" customHeight="1">
      <x:c r="A15" s="12" t="str">
        <x:v>TC-09</x:v>
      </x:c>
      <x:c r="B15" s="12" t="str">
        <x:v>HET-01</x:v>
      </x:c>
      <x:c r="C15" s="12" t="str">
        <x:v>P1</x:v>
      </x:c>
      <x:c r="D15" s="12" t="str">
        <x:v>突击兵持机枪，双枪</x:v>
      </x:c>
      <x:c r="E15" s="12" t="str">
        <x:v>连续射击至过热，继续按射击</x:v>
      </x:c>
      <x:c r="F15" s="12" t="str">
        <x:v>热量按两枪累加，锁定后无弹丸，冷却到阈值解锁</x:v>
      </x:c>
      <x:c r="G15" s="12" t="str">
        <x:v>战斗</x:v>
      </x:c>
      <x:c r="H15" s="15" t="str">
        <x:v>未执行</x:v>
      </x:c>
      <x:c r="I15" s="15"/>
      <x:c r="J15" s="15"/>
    </x:row>
    <x:row r="16" ht="75" customHeight="1">
      <x:c r="A16" s="11" t="str">
        <x:v>TC-10</x:v>
      </x:c>
      <x:c r="B16" s="11" t="str">
        <x:v>SKL-02</x:v>
      </x:c>
      <x:c r="C16" s="11" t="str">
        <x:v>P0</x:v>
      </x:c>
      <x:c r="D16" s="11" t="str">
        <x:v>医疗兵残血、满血各一组</x:v>
      </x:c>
      <x:c r="E16" s="11" t="str">
        <x:v>施放技能并被敌弹命中</x:v>
      </x:c>
      <x:c r="F16" s="11" t="str">
        <x:v>回复上限截断，2 秒无敌，满血也消耗冷却</x:v>
      </x:c>
      <x:c r="G16" s="11" t="str">
        <x:v>边界</x:v>
      </x:c>
      <x:c r="H16" s="15" t="str">
        <x:v>未执行</x:v>
      </x:c>
      <x:c r="I16" s="15"/>
      <x:c r="J16" s="15"/>
    </x:row>
    <x:row r="17" ht="75" customHeight="1">
      <x:c r="A17" s="12" t="str">
        <x:v>TC-11</x:v>
      </x:c>
      <x:c r="B17" s="12" t="str">
        <x:v>SKL-03</x:v>
      </x:c>
      <x:c r="C17" s="12" t="str">
        <x:v>P1</x:v>
      </x:c>
      <x:c r="D17" s="12" t="str">
        <x:v>工程师，先无敌人再生成敌人</x:v>
      </x:c>
      <x:c r="E17" s="12" t="str">
        <x:v>放炮台，8 秒内出现目标</x:v>
      </x:c>
      <x:c r="F17" s="12" t="str">
        <x:v>无敌人不射，出现后索敌；到期停止</x:v>
      </x:c>
      <x:c r="G17" s="12" t="str">
        <x:v>战斗</x:v>
      </x:c>
      <x:c r="H17" s="15" t="str">
        <x:v>未执行</x:v>
      </x:c>
      <x:c r="I17" s="15"/>
      <x:c r="J17" s="15"/>
    </x:row>
    <x:row r="18" ht="75" customHeight="1">
      <x:c r="A18" s="11" t="str">
        <x:v>TC-12</x:v>
      </x:c>
      <x:c r="B18" s="11" t="str">
        <x:v>MOV-02</x:v>
      </x:c>
      <x:c r="C18" s="11" t="str">
        <x:v>P0</x:v>
      </x:c>
      <x:c r="D18" s="11" t="str">
        <x:v>人在平台边缘</x:v>
      </x:c>
      <x:c r="E18" s="11" t="str">
        <x:v>测离地宽限和跳跃缓冲两端</x:v>
      </x:c>
      <x:c r="F18" s="11" t="str">
        <x:v>允许范围内执行跳跃，落地重置次数，不无限跳</x:v>
      </x:c>
      <x:c r="G18" s="11" t="str">
        <x:v>边界</x:v>
      </x:c>
      <x:c r="H18" s="15" t="str">
        <x:v>未执行</x:v>
      </x:c>
      <x:c r="I18" s="15"/>
      <x:c r="J18" s="15"/>
    </x:row>
    <x:row r="19" ht="75" customHeight="1">
      <x:c r="A19" s="12" t="str">
        <x:v>TC-13</x:v>
      </x:c>
      <x:c r="B19" s="12" t="str">
        <x:v>MOV-03</x:v>
      </x:c>
      <x:c r="C19" s="12" t="str">
        <x:v>P0</x:v>
      </x:c>
      <x:c r="D19" s="12" t="str">
        <x:v>鼠标向右，按 A；另测无移动输入</x:v>
      </x:c>
      <x:c r="E19" s="12" t="str">
        <x:v>冲刺</x:v>
      </x:c>
      <x:c r="F19" s="12" t="str">
        <x:v>有输入按移动方向，无输入按瞄准左右；冲刺期间免伤</x:v>
      </x:c>
      <x:c r="G19" s="12" t="str">
        <x:v>输入</x:v>
      </x:c>
      <x:c r="H19" s="15" t="str">
        <x:v>未执行</x:v>
      </x:c>
      <x:c r="I19" s="15"/>
      <x:c r="J19" s="15"/>
    </x:row>
    <x:row r="20" ht="75" customHeight="1">
      <x:c r="A20" s="11" t="str">
        <x:v>TC-14</x:v>
      </x:c>
      <x:c r="B20" s="11" t="str">
        <x:v>FIR-01</x:v>
      </x:c>
      <x:c r="C20" s="11" t="str">
        <x:v>P0</x:v>
      </x:c>
      <x:c r="D20" s="11" t="str">
        <x:v>出击后，补给后，暂停与重开</x:v>
      </x:c>
      <x:c r="E20" s="11" t="str">
        <x:v>滚轮、数字键、返回菜单换枪</x:v>
      </x:c>
      <x:c r="F20" s="11" t="str">
        <x:v>局内不换枪，重开沿用，主菜单才可改枪</x:v>
      </x:c>
      <x:c r="G20" s="11" t="str">
        <x:v>锁定</x:v>
      </x:c>
      <x:c r="H20" s="15" t="str">
        <x:v>未执行</x:v>
      </x:c>
      <x:c r="I20" s="15"/>
      <x:c r="J20" s="15"/>
    </x:row>
    <x:row r="21" ht="75" customHeight="1">
      <x:c r="A21" s="12" t="str">
        <x:v>TC-15</x:v>
      </x:c>
      <x:c r="B21" s="12" t="str">
        <x:v>FIR-02</x:v>
      </x:c>
      <x:c r="C21" s="12" t="str">
        <x:v>P1</x:v>
      </x:c>
      <x:c r="D21" s="12" t="str">
        <x:v>狙击，两个同线敌人</x:v>
      </x:c>
      <x:c r="E21" s="12" t="str">
        <x:v>发一弹扫过</x:v>
      </x:c>
      <x:c r="F21" s="12" t="str">
        <x:v>两个目标分别受伤，同一弹丸不重复伤同一目标</x:v>
      </x:c>
      <x:c r="G21" s="12" t="str">
        <x:v>战斗</x:v>
      </x:c>
      <x:c r="H21" s="15" t="str">
        <x:v>未执行</x:v>
      </x:c>
      <x:c r="I21" s="15"/>
      <x:c r="J21" s="15"/>
    </x:row>
    <x:row r="22" ht="75" customHeight="1">
      <x:c r="A22" s="11" t="str">
        <x:v>TC-16</x:v>
      </x:c>
      <x:c r="B22" s="11" t="str">
        <x:v>DMG-01</x:v>
      </x:c>
      <x:c r="C22" s="11" t="str">
        <x:v>P0</x:v>
      </x:c>
      <x:c r="D22" s="11" t="str">
        <x:v>残血，连续多个敌弹</x:v>
      </x:c>
      <x:c r="E22" s="11" t="str">
        <x:v>短时间连续命中</x:v>
      </x:c>
      <x:c r="F22" s="11" t="str">
        <x:v>首次扣血，0.65 秒保护期不重复扣，生命不小于0</x:v>
      </x:c>
      <x:c r="G22" s="11" t="str">
        <x:v>边界</x:v>
      </x:c>
      <x:c r="H22" s="15" t="str">
        <x:v>未执行</x:v>
      </x:c>
      <x:c r="I22" s="15"/>
      <x:c r="J22" s="15"/>
    </x:row>
    <x:row r="23" ht="75" customHeight="1">
      <x:c r="A23" s="12" t="str">
        <x:v>TC-17</x:v>
      </x:c>
      <x:c r="B23" s="12" t="str">
        <x:v>UPG-01</x:v>
      </x:c>
      <x:c r="C23" s="12" t="str">
        <x:v>P0</x:v>
      </x:c>
      <x:c r="D23" s="12" t="str">
        <x:v>完成任一非终关</x:v>
      </x:c>
      <x:c r="E23" s="12" t="str">
        <x:v>快速双击升级卡并按数字键</x:v>
      </x:c>
      <x:c r="F23" s="12" t="str">
        <x:v>只应用一项，只进下一关一次</x:v>
      </x:c>
      <x:c r="G23" s="12" t="str">
        <x:v>竞态</x:v>
      </x:c>
      <x:c r="H23" s="15" t="str">
        <x:v>未执行</x:v>
      </x:c>
      <x:c r="I23" s="15"/>
      <x:c r="J23" s="15"/>
    </x:row>
    <x:row r="24" ht="75" customHeight="1">
      <x:c r="A24" s="11" t="str">
        <x:v>TC-18</x:v>
      </x:c>
      <x:c r="B24" s="11" t="str">
        <x:v>UPG-01</x:v>
      </x:c>
      <x:c r="C24" s="11" t="str">
        <x:v>P1</x:v>
      </x:c>
      <x:c r="D24" s="11" t="str">
        <x:v>每种升级分别选择</x:v>
      </x:c>
      <x:c r="E24" s="11" t="str">
        <x:v>核对下一关真实弹伤/间隔/弹数/生命/冲刺</x:v>
      </x:c>
      <x:c r="F24" s="11" t="str">
        <x:v>效果按定义累加，本局保留，重开清零</x:v>
      </x:c>
      <x:c r="G24" s="11" t="str">
        <x:v>数值</x:v>
      </x:c>
      <x:c r="H24" s="15" t="str">
        <x:v>未执行</x:v>
      </x:c>
      <x:c r="I24" s="15"/>
      <x:c r="J24" s="15"/>
    </x:row>
    <x:row r="25" ht="75" customHeight="1">
      <x:c r="A25" s="12" t="str">
        <x:v>TC-19</x:v>
      </x:c>
      <x:c r="B25" s="12" t="str">
        <x:v>SCO-01</x:v>
      </x:c>
      <x:c r="C25" s="12" t="str">
        <x:v>P1</x:v>
      </x:c>
      <x:c r="D25" s="12" t="str">
        <x:v>连续击杀、间隔超3.5秒、受伤</x:v>
      </x:c>
      <x:c r="E25" s="12" t="str">
        <x:v>观察得分与连击</x:v>
      </x:c>
      <x:c r="F25" s="12" t="str">
        <x:v>连击与100×上限10规则一致；超时或受伤归零</x:v>
      </x:c>
      <x:c r="G25" s="12" t="str">
        <x:v>计分</x:v>
      </x:c>
      <x:c r="H25" s="15" t="str">
        <x:v>未执行</x:v>
      </x:c>
      <x:c r="I25" s="15"/>
      <x:c r="J25" s="15"/>
    </x:row>
    <x:row r="26" ht="75" customHeight="1">
      <x:c r="A26" s="11" t="str">
        <x:v>TC-20</x:v>
      </x:c>
      <x:c r="B26" s="11" t="str">
        <x:v>REC-01</x:v>
      </x:c>
      <x:c r="C26" s="11" t="str">
        <x:v>P1</x:v>
      </x:c>
      <x:c r="D26" s="11" t="str">
        <x:v>累计击杀达到3的倍数</x:v>
      </x:c>
      <x:c r="E26" s="11" t="str">
        <x:v>检查掉落、吸附、12秒到期</x:v>
      </x:c>
      <x:c r="F26" s="11" t="str">
        <x:v>生成15回复物，截断上限，到期销毁，换关不残留</x:v>
      </x:c>
      <x:c r="G26" s="11" t="str">
        <x:v>掉落</x:v>
      </x:c>
      <x:c r="H26" s="15" t="str">
        <x:v>未执行</x:v>
      </x:c>
      <x:c r="I26" s="15"/>
      <x:c r="J26" s="15"/>
    </x:row>
    <x:row r="27" ht="75" customHeight="1">
      <x:c r="A27" s="12" t="str">
        <x:v>TC-21</x:v>
      </x:c>
      <x:c r="B27" s="12" t="str">
        <x:v>BOS-01</x:v>
      </x:c>
      <x:c r="C27" s="12" t="str">
        <x:v>P0</x:v>
      </x:c>
      <x:c r="D27" s="12" t="str">
        <x:v>Boss 生命50%、低于50%各一组</x:v>
      </x:c>
      <x:c r="E27" s="12" t="str">
        <x:v>等一轮射击</x:v>
      </x:c>
      <x:c r="F27" s="12" t="str">
        <x:v>恰好50%仍常态，低于50%九发并加快；实际难度倍率正确</x:v>
      </x:c>
      <x:c r="G27" s="12" t="str">
        <x:v>边界</x:v>
      </x:c>
      <x:c r="H27" s="15" t="str">
        <x:v>未执行</x:v>
      </x:c>
      <x:c r="I27" s="15"/>
      <x:c r="J27" s="15"/>
    </x:row>
    <x:row r="28" ht="75" customHeight="1">
      <x:c r="A28" s="11" t="str">
        <x:v>TC-22</x:v>
      </x:c>
      <x:c r="B28" s="11" t="str">
        <x:v>TIM-01</x:v>
      </x:c>
      <x:c r="C28" s="11" t="str">
        <x:v>P0</x:v>
      </x:c>
      <x:c r="D28" s="11" t="str">
        <x:v>技能与弹丸运行中</x:v>
      </x:c>
      <x:c r="E28" s="11" t="str">
        <x:v>Esc 暂停并等真实10秒后恢复</x:v>
      </x:c>
      <x:c r="F28" s="11" t="str">
        <x:v>位置、持续、冷却和任务进度不在暂停时推进</x:v>
      </x:c>
      <x:c r="G28" s="11" t="str">
        <x:v>暂停</x:v>
      </x:c>
      <x:c r="H28" s="15" t="str">
        <x:v>未执行</x:v>
      </x:c>
      <x:c r="I28" s="15"/>
      <x:c r="J28" s="15"/>
    </x:row>
    <x:row r="29" ht="75" customHeight="1">
      <x:c r="A29" s="12" t="str">
        <x:v>TC-23</x:v>
      </x:c>
      <x:c r="B29" s="12" t="str">
        <x:v>TIM-01</x:v>
      </x:c>
      <x:c r="C29" s="12" t="str">
        <x:v>P1</x:v>
      </x:c>
      <x:c r="D29" s="12" t="str">
        <x:v>限制帧率15/30/60</x:v>
      </x:c>
      <x:c r="E29" s="12" t="str">
        <x:v>记录60秒真实时间内游戏clock</x:v>
      </x:c>
      <x:c r="F29" s="12" t="str">
        <x:v>量化时钟偏差；由决策决定可接受阈值，不能直接记通过</x:v>
      </x:c>
      <x:c r="G29" s="12" t="str">
        <x:v>性能</x:v>
      </x:c>
      <x:c r="H29" s="15" t="str">
        <x:v>未执行</x:v>
      </x:c>
      <x:c r="I29" s="15"/>
      <x:c r="J29" s="15"/>
    </x:row>
    <x:row r="30" ht="75" customHeight="1">
      <x:c r="A30" s="11" t="str">
        <x:v>TC-24</x:v>
      </x:c>
      <x:c r="B30" s="11" t="str">
        <x:v>EDIT-01</x:v>
      </x:c>
      <x:c r="C30" s="11" t="str">
        <x:v>P0</x:v>
      </x:c>
      <x:c r="D30" s="11" t="str">
        <x:v>复制验证用关卡与Balance</x:v>
      </x:c>
      <x:c r="E30" s="11" t="str">
        <x:v>非程序人员移动平台和出口、修改扫描冷却，保存重载</x:v>
      </x:c>
      <x:c r="F30" s="11" t="str">
        <x:v>编辑可见且运行生效，恢复原资产，GUID不丢失</x:v>
      </x:c>
      <x:c r="G30" s="11" t="str">
        <x:v>制作流程</x:v>
      </x:c>
      <x:c r="H30" s="15" t="str">
        <x:v>未执行</x:v>
      </x:c>
      <x:c r="I30" s="15"/>
      <x:c r="J30" s="15"/>
    </x:row>
    <x:row r="31" ht="75" customHeight="1">
      <x:c r="A31" s="12" t="str">
        <x:v>TC-25</x:v>
      </x:c>
      <x:c r="B31" s="12" t="str">
        <x:v>OBJ-01</x:v>
      </x:c>
      <x:c r="C31" s="12" t="str">
        <x:v>P0</x:v>
      </x:c>
      <x:c r="D31" s="12" t="str">
        <x:v>关卡1或2未清完</x:v>
      </x:c>
      <x:c r="E31" s="12" t="str">
        <x:v>靠近出口，清完再试</x:v>
      </x:c>
      <x:c r="F31" s="12" t="str">
        <x:v>目标未完成不可进；满足后进入补给</x:v>
      </x:c>
      <x:c r="G31" s="12" t="str">
        <x:v>任务</x:v>
      </x:c>
      <x:c r="H31" s="15" t="str">
        <x:v>未执行</x:v>
      </x:c>
      <x:c r="I31" s="15"/>
      <x:c r="J31" s="15"/>
    </x:row>
    <x:row r="32" ht="75" customHeight="1">
      <x:c r="A32" s="11" t="str">
        <x:v>TC-26</x:v>
      </x:c>
      <x:c r="B32" s="11" t="str">
        <x:v>OBJ-01</x:v>
      </x:c>
      <x:c r="C32" s="11" t="str">
        <x:v>P0</x:v>
      </x:c>
      <x:c r="D32" s="11" t="str">
        <x:v>第三关 Boss 败亡</x:v>
      </x:c>
      <x:c r="E32" s="11" t="str">
        <x:v>前往出口</x:v>
      </x:c>
      <x:c r="F32" s="11" t="str">
        <x:v>继续第四关，不能触发全游戏胜利</x:v>
      </x:c>
      <x:c r="G32" s="11" t="str">
        <x:v>任务</x:v>
      </x:c>
      <x:c r="H32" s="15" t="str">
        <x:v>未执行</x:v>
      </x:c>
      <x:c r="I32" s="15"/>
      <x:c r="J32" s="15"/>
    </x:row>
    <x:row r="33" ht="75" customHeight="1">
      <x:c r="A33" s="12" t="str">
        <x:v>TC-27</x:v>
      </x:c>
      <x:c r="B33" s="12" t="str">
        <x:v>OBJ-01</x:v>
      </x:c>
      <x:c r="C33" s="12" t="str">
        <x:v>P0</x:v>
      </x:c>
      <x:c r="D33" s="12" t="str">
        <x:v>第四关留敌，最慢职业持机枪</x:v>
      </x:c>
      <x:c r="E33" s="12" t="str">
        <x:v>攀塔取钥匙到塔顶</x:v>
      </x:c>
      <x:c r="F33" s="12" t="str">
        <x:v>二段跳可达，拿钥匙后无需清敌可出门</x:v>
      </x:c>
      <x:c r="G33" s="12" t="str">
        <x:v>任务</x:v>
      </x:c>
      <x:c r="H33" s="15" t="str">
        <x:v>未执行</x:v>
      </x:c>
      <x:c r="I33" s="15"/>
      <x:c r="J33" s="15"/>
    </x:row>
    <x:row r="34" ht="75" customHeight="1">
      <x:c r="A34" s="11" t="str">
        <x:v>TC-28</x:v>
      </x:c>
      <x:c r="B34" s="11" t="str">
        <x:v>OBJ-01</x:v>
      </x:c>
      <x:c r="C34" s="11" t="str">
        <x:v>P0</x:v>
      </x:c>
      <x:c r="D34" s="11" t="str">
        <x:v>第五关数据0/3、2/3、3/3</x:v>
      </x:c>
      <x:c r="E34" s="11" t="str">
        <x:v>尝试左侧出口</x:v>
      </x:c>
      <x:c r="F34" s="11" t="str">
        <x:v>只在收齐后开门；回程方向正确，敌人存活不锁门</x:v>
      </x:c>
      <x:c r="G34" s="11" t="str">
        <x:v>任务</x:v>
      </x:c>
      <x:c r="H34" s="15" t="str">
        <x:v>未执行</x:v>
      </x:c>
      <x:c r="I34" s="15"/>
      <x:c r="J34" s="15"/>
    </x:row>
    <x:row r="35" ht="75" customHeight="1">
      <x:c r="A35" s="12" t="str">
        <x:v>TC-29</x:v>
      </x:c>
      <x:c r="B35" s="12" t="str">
        <x:v>OBJ-01</x:v>
      </x:c>
      <x:c r="C35" s="12" t="str">
        <x:v>P0</x:v>
      </x:c>
      <x:c r="D35" s="12" t="str">
        <x:v>第六关，正确与错误顺序各一组</x:v>
      </x:c>
      <x:c r="E35" s="12" t="str">
        <x:v>输入 II-I-III；另输入II-III</x:v>
      </x:c>
      <x:c r="F35" s="12" t="str">
        <x:v>正确开中部门，错误清零并重置显示</x:v>
      </x:c>
      <x:c r="G35" s="12" t="str">
        <x:v>机关</x:v>
      </x:c>
      <x:c r="H35" s="15" t="str">
        <x:v>未执行</x:v>
      </x:c>
      <x:c r="I35" s="15"/>
      <x:c r="J35" s="15"/>
    </x:row>
    <x:row r="36" ht="75" customHeight="1">
      <x:c r="A36" s="11" t="str">
        <x:v>TC-30</x:v>
      </x:c>
      <x:c r="B36" s="11" t="str">
        <x:v>OBJ-01</x:v>
      </x:c>
      <x:c r="C36" s="11" t="str">
        <x:v>P1</x:v>
      </x:c>
      <x:c r="D36" s="11" t="str">
        <x:v>第六关已完成线路</x:v>
      </x:c>
      <x:c r="E36" s="11" t="str">
        <x:v>重复按 E</x:v>
      </x:c>
      <x:c r="F36" s="11" t="str">
        <x:v>不回退、不重复发奖励，不恢复锁门</x:v>
      </x:c>
      <x:c r="G36" s="11" t="str">
        <x:v>机关</x:v>
      </x:c>
      <x:c r="H36" s="15" t="str">
        <x:v>未执行</x:v>
      </x:c>
      <x:c r="I36" s="15"/>
      <x:c r="J36" s="15"/>
    </x:row>
    <x:row r="37" ht="75" customHeight="1">
      <x:c r="A37" s="12" t="str">
        <x:v>TC-31</x:v>
      </x:c>
      <x:c r="B37" s="12" t="str">
        <x:v>OBJ-01</x:v>
      </x:c>
      <x:c r="C37" s="12" t="str">
        <x:v>P0</x:v>
      </x:c>
      <x:c r="D37" s="12" t="str">
        <x:v>第七关两个档案未收齐</x:v>
      </x:c>
      <x:c r="E37" s="12" t="str">
        <x:v>S下落、按任意顺序收集后去底层左门</x:v>
      </x:c>
      <x:c r="F37" s="12" t="str">
        <x:v>路线不软锁，只检查收集齐全</x:v>
      </x:c>
      <x:c r="G37" s="12" t="str">
        <x:v>任务</x:v>
      </x:c>
      <x:c r="H37" s="15" t="str">
        <x:v>未执行</x:v>
      </x:c>
      <x:c r="I37" s="15"/>
      <x:c r="J37" s="15"/>
    </x:row>
    <x:row r="38" ht="75" customHeight="1">
      <x:c r="A38" s="11" t="str">
        <x:v>TC-32</x:v>
      </x:c>
      <x:c r="B38" s="11" t="str">
        <x:v>END-01</x:v>
      </x:c>
      <x:c r="C38" s="11" t="str">
        <x:v>P0</x:v>
      </x:c>
      <x:c r="D38" s="11" t="str">
        <x:v>第八关</x:v>
      </x:c>
      <x:c r="E38" s="11" t="str">
        <x:v>先击败 Boss，再关反应堆</x:v>
      </x:c>
      <x:c r="F38" s="11" t="str">
        <x:v>单目标不胜利，双目标后原地结算</x:v>
      </x:c>
      <x:c r="G38" s="11" t="str">
        <x:v>结算</x:v>
      </x:c>
      <x:c r="H38" s="15" t="str">
        <x:v>未执行</x:v>
      </x:c>
      <x:c r="I38" s="15"/>
      <x:c r="J38" s="15"/>
    </x:row>
    <x:row r="39" ht="75" customHeight="1">
      <x:c r="A39" s="12" t="str">
        <x:v>TC-33</x:v>
      </x:c>
      <x:c r="B39" s="12" t="str">
        <x:v>END-01</x:v>
      </x:c>
      <x:c r="C39" s="12" t="str">
        <x:v>P0</x:v>
      </x:c>
      <x:c r="D39" s="12" t="str">
        <x:v>第八关</x:v>
      </x:c>
      <x:c r="E39" s="12" t="str">
        <x:v>先关反应堆，再击败 Boss</x:v>
      </x:c>
      <x:c r="F39" s="12" t="str">
        <x:v>与TC-32结果一致，不要求传送门</x:v>
      </x:c>
      <x:c r="G39" s="12" t="str">
        <x:v>结算</x:v>
      </x:c>
      <x:c r="H39" s="15" t="str">
        <x:v>未执行</x:v>
      </x:c>
      <x:c r="I39" s="15"/>
      <x:c r="J39" s="15"/>
    </x:row>
    <x:row r="40" ht="75" customHeight="1">
      <x:c r="A40" s="11" t="str">
        <x:v>TC-34</x:v>
      </x:c>
      <x:c r="B40" s="11" t="str">
        <x:v>END-01</x:v>
      </x:c>
      <x:c r="C40" s="11" t="str">
        <x:v>P0</x:v>
      </x:c>
      <x:c r="D40" s="11" t="str">
        <x:v>第八关生命已为0或暂停</x:v>
      </x:c>
      <x:c r="E40" s="11" t="str">
        <x:v>模拟最后目标完成</x:v>
      </x:c>
      <x:c r="F40" s="11" t="str">
        <x:v>不得覆盖失败或暂停强制胜利</x:v>
      </x:c>
      <x:c r="G40" s="11" t="str">
        <x:v>竞态</x:v>
      </x:c>
      <x:c r="H40" s="15" t="str">
        <x:v>未执行</x:v>
      </x:c>
      <x:c r="I40" s="15"/>
      <x:c r="J40" s="15"/>
    </x:row>
    <x:row r="41" ht="75" customHeight="1">
      <x:c r="A41" s="12" t="str">
        <x:v>TC-35</x:v>
      </x:c>
      <x:c r="B41" s="12" t="str">
        <x:v>UI-11</x:v>
      </x:c>
      <x:c r="C41" s="12" t="str">
        <x:v>P0</x:v>
      </x:c>
      <x:c r="D41" s="12" t="str">
        <x:v>胜利与失败各一次</x:v>
      </x:c>
      <x:c r="E41" s="12" t="str">
        <x:v>R重开、Esc返回后换配置</x:v>
      </x:c>
      <x:c r="F41" s="12" t="str">
        <x:v>清除敌弹和升级，保留/更换配置按定义执行</x:v>
      </x:c>
      <x:c r="G41" s="12" t="str">
        <x:v>流程</x:v>
      </x:c>
      <x:c r="H41" s="15" t="str">
        <x:v>未执行</x:v>
      </x:c>
      <x:c r="I41" s="15"/>
      <x:c r="J41" s="15"/>
    </x:row>
    <x:row r="42" ht="75" customHeight="1">
      <x:c r="A42" s="11" t="str">
        <x:v>TC-36</x:v>
      </x:c>
      <x:c r="B42" s="11" t="str">
        <x:v>UI-01—04</x:v>
      </x:c>
      <x:c r="C42" s="11" t="str">
        <x:v>P0</x:v>
      </x:c>
      <x:c r="D42" s="11" t="str">
        <x:v>全新启动</x:v>
      </x:c>
      <x:c r="E42" s="11" t="str">
        <x:v>首页进入三选择页并多次返回</x:v>
      </x:c>
      <x:c r="F42" s="11" t="str">
        <x:v>介绍和选择同步，只有最终确认开始战斗</x:v>
      </x:c>
      <x:c r="G42" s="11" t="str">
        <x:v>流程</x:v>
      </x:c>
      <x:c r="H42" s="15" t="str">
        <x:v>未执行</x:v>
      </x:c>
      <x:c r="I42" s="15"/>
      <x:c r="J42" s="15"/>
    </x:row>
    <x:row r="43" ht="75" customHeight="1">
      <x:c r="A43" s="12" t="str">
        <x:v>TC-37</x:v>
      </x:c>
      <x:c r="B43" s="12" t="str">
        <x:v>UI-12</x:v>
      </x:c>
      <x:c r="C43" s="12" t="str">
        <x:v>P0</x:v>
      </x:c>
      <x:c r="D43" s="12" t="str">
        <x:v>网页1.1.1及旧版本入口</x:v>
      </x:c>
      <x:c r="E43" s="12" t="str">
        <x:v>首次加载、重试、切换版本</x:v>
      </x:c>
      <x:c r="F43" s="12" t="str">
        <x:v>只加载所选版本；错误可解释，不静默改版本</x:v>
      </x:c>
      <x:c r="G43" s="12" t="str">
        <x:v>发布</x:v>
      </x:c>
      <x:c r="H43" s="15" t="str">
        <x:v>未执行</x:v>
      </x:c>
      <x:c r="I43" s="15"/>
      <x:c r="J43" s="15"/>
    </x:row>
    <x:row r="44" ht="75" customHeight="1">
      <x:c r="A44" s="11" t="str">
        <x:v>TC-38</x:v>
      </x:c>
      <x:c r="B44" s="11" t="str">
        <x:v>UI-14</x:v>
      </x:c>
      <x:c r="C44" s="11" t="str">
        <x:v>P1</x:v>
      </x:c>
      <x:c r="D44" s="11" t="str">
        <x:v>有最高分与进行中的战局</x:v>
      </x:c>
      <x:c r="E44" s="11" t="str">
        <x:v>关闭再开、刷新浏览器</x:v>
      </x:c>
      <x:c r="F44" s="11" t="str">
        <x:v>保留最高分；当前无断局续玩，说明一致</x:v>
      </x:c>
      <x:c r="G44" s="11" t="str">
        <x:v>存档</x:v>
      </x:c>
      <x:c r="H44" s="15" t="str">
        <x:v>未执行</x:v>
      </x:c>
      <x:c r="I44" s="15"/>
      <x:c r="J44" s="15"/>
    </x:row>
    <x:row r="45" ht="75" customHeight="1">
      <x:c r="A45" s="12" t="str">
        <x:v>TC-39</x:v>
      </x:c>
      <x:c r="B45" s="12" t="str">
        <x:v>UI-05</x:v>
      </x:c>
      <x:c r="C45" s="12" t="str">
        <x:v>P1</x:v>
      </x:c>
      <x:c r="D45" s="12" t="str">
        <x:v>4:3、16:9、窗口缩放</x:v>
      </x:c>
      <x:c r="E45" s="12" t="str">
        <x:v>五枪全方向瞄准并操作机关</x:v>
      </x:c>
      <x:c r="F45" s="12" t="str">
        <x:v>枪不飞出、任务不截断、中文可读，点击位置正确</x:v>
      </x:c>
      <x:c r="G45" s="12" t="str">
        <x:v>显示</x:v>
      </x:c>
      <x:c r="H45" s="15" t="str">
        <x:v>未执行</x:v>
      </x:c>
      <x:c r="I45" s="15"/>
      <x:c r="J45" s="15"/>
    </x:row>
    <x:row r="46" ht="75" customHeight="1">
      <x:c r="A46" s="11" t="str">
        <x:v>TC-40</x:v>
      </x:c>
      <x:c r="B46" s="11" t="str">
        <x:v>UI-13</x:v>
      </x:c>
      <x:c r="C46" s="11" t="str">
        <x:v>P1</x:v>
      </x:c>
      <x:c r="D46" s="11" t="str">
        <x:v>设置功能完成后</x:v>
      </x:c>
      <x:c r="E46" s="11" t="str">
        <x:v>修改、保存、重开、恢复默认</x:v>
      </x:c>
      <x:c r="F46" s="11" t="str">
        <x:v>仅对实现的设置项按确认规则保存，不把未开发功能记通过</x:v>
      </x:c>
      <x:c r="G46" s="11" t="str">
        <x:v>新增功能</x:v>
      </x:c>
      <x:c r="H46" s="15" t="str">
        <x:v>未执行</x:v>
      </x:c>
      <x:c r="I46" s="15"/>
      <x:c r="J46" s="15"/>
    </x:row>
    <x:row r="47" ht="75" customHeight="1">
      <x:c r="A47" s="12" t="str">
        <x:v>TC-41</x:v>
      </x:c>
      <x:c r="B47" s="12" t="str">
        <x:v>REL-01</x:v>
      </x:c>
      <x:c r="C47" s="12" t="str">
        <x:v>P0</x:v>
      </x:c>
      <x:c r="D47" s="12" t="str">
        <x:v>全新拉取源码</x:v>
      </x:c>
      <x:c r="E47" s="12" t="str">
        <x:v>按构建说明生成Windows与WebGL</x:v>
      </x:c>
      <x:c r="F47" s="12" t="str">
        <x:v>同提交可重建，缺资源时明确失败</x:v>
      </x:c>
      <x:c r="G47" s="12" t="str">
        <x:v>发布</x:v>
      </x:c>
      <x:c r="H47" s="15" t="str">
        <x:v>未执行</x:v>
      </x:c>
      <x:c r="I47" s="15"/>
      <x:c r="J47" s="15"/>
    </x:row>
    <x:row r="48" ht="75" customHeight="1">
      <x:c r="A48" s="11" t="str">
        <x:v>TC-42</x:v>
      </x:c>
      <x:c r="B48" s="11" t="str">
        <x:v>REL-04</x:v>
      </x:c>
      <x:c r="C48" s="11" t="str">
        <x:v>P0</x:v>
      </x:c>
      <x:c r="D48" s="11" t="str">
        <x:v>准备候选与稳定版本</x:v>
      </x:c>
      <x:c r="E48" s="11" t="str">
        <x:v>发布失败后回滚，访问旧试玩</x:v>
      </x:c>
      <x:c r="F48" s="11" t="str">
        <x:v>两版都能启动，原始历史资源校验不变</x:v>
      </x:c>
      <x:c r="G48" s="11" t="str">
        <x:v>发布</x:v>
      </x:c>
      <x:c r="H48" s="15" t="str">
        <x:v>未执行</x:v>
      </x:c>
      <x:c r="I48" s="15"/>
      <x:c r="J48" s="15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</x:sheetData>
  <x:dataValidations count="1">
    <x:dataValidation type="list" sqref="H7:H48">
      <x:formula1>"未执行,通过,失败,阻塞"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.25" hidden="0" customWidth="1"/>
    <x:col min="2" max="2" width="12.5" hidden="0" customWidth="1"/>
    <x:col min="3" max="3" width="18.75" hidden="0" customWidth="1"/>
    <x:col min="4" max="4" width="11.25" hidden="0" customWidth="1"/>
    <x:col min="5" max="5" width="38.75" hidden="0" customWidth="1"/>
    <x:col min="6" max="6" width="41.25" hidden="0" customWidth="1"/>
    <x:col min="7" max="7" width="13.75" hidden="0" customWidth="1"/>
    <x:col min="8" max="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职业、枪械、难度的入口覆盖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共 4×5×3=60 个配装入口。该矩阵不代表60种配装均已完成八关；完整组合为480个配置关卡场景。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9" t="str">
        <x:v>配置用例</x:v>
      </x:c>
      <x:c r="B6" s="9" t="str">
        <x:v>职业</x:v>
      </x:c>
      <x:c r="C6" s="9" t="str">
        <x:v>枪械</x:v>
      </x:c>
      <x:c r="D6" s="9" t="str">
        <x:v>难度</x:v>
      </x:c>
      <x:c r="E6" s="9" t="str">
        <x:v>执行步骤</x:v>
      </x:c>
      <x:c r="F6" s="9" t="str">
        <x:v>预期结果</x:v>
      </x:c>
      <x:c r="G6" s="9" t="str">
        <x:v>状态</x:v>
      </x:c>
      <x:c r="H6" s="9" t="str">
        <x:v>构建及证据</x:v>
      </x:c>
    </x:row>
    <x:row r="7" ht="61" customHeight="1">
      <x:c r="A7" s="12" t="str">
        <x:v>MX-001</x:v>
      </x:c>
      <x:c r="B7" s="12" t="str">
        <x:v>突击兵</x:v>
      </x:c>
      <x:c r="C7" s="12" t="str">
        <x:v>脉冲步枪</x:v>
      </x:c>
      <x:c r="D7" s="12" t="str">
        <x:v>简单</x:v>
      </x:c>
      <x:c r="E7" s="12" t="str">
        <x:v>首页完成三步选择；进入第一关；开火与Q；暂停；检查锁定</x:v>
      </x:c>
      <x:c r="F7" s="12" t="str">
        <x:v>所选配置与HUD一致，枪械不切换，职业技能正确，难度倍率生效</x:v>
      </x:c>
      <x:c r="G7" s="15" t="str">
        <x:v>未执行</x:v>
      </x:c>
      <x:c r="H7" s="15"/>
    </x:row>
    <x:row r="8" ht="61" customHeight="1">
      <x:c r="A8" s="11" t="str">
        <x:v>MX-002</x:v>
      </x:c>
      <x:c r="B8" s="11" t="str">
        <x:v>突击兵</x:v>
      </x:c>
      <x:c r="C8" s="11" t="str">
        <x:v>脉冲步枪</x:v>
      </x:c>
      <x:c r="D8" s="11" t="str">
        <x:v>中等</x:v>
      </x:c>
      <x:c r="E8" s="11" t="str">
        <x:v>首页完成三步选择；进入第一关；开火与Q；暂停；检查锁定</x:v>
      </x:c>
      <x:c r="F8" s="11" t="str">
        <x:v>所选配置与HUD一致，枪械不切换，职业技能正确，难度倍率生效</x:v>
      </x:c>
      <x:c r="G8" s="15" t="str">
        <x:v>未执行</x:v>
      </x:c>
      <x:c r="H8" s="15"/>
    </x:row>
    <x:row r="9" ht="61" customHeight="1">
      <x:c r="A9" s="12" t="str">
        <x:v>MX-003</x:v>
      </x:c>
      <x:c r="B9" s="12" t="str">
        <x:v>突击兵</x:v>
      </x:c>
      <x:c r="C9" s="12" t="str">
        <x:v>脉冲步枪</x:v>
      </x:c>
      <x:c r="D9" s="12" t="str">
        <x:v>困难</x:v>
      </x:c>
      <x:c r="E9" s="12" t="str">
        <x:v>首页完成三步选择；进入第一关；开火与Q；暂停；检查锁定</x:v>
      </x:c>
      <x:c r="F9" s="12" t="str">
        <x:v>所选配置与HUD一致，枪械不切换，职业技能正确，难度倍率生效</x:v>
      </x:c>
      <x:c r="G9" s="15" t="str">
        <x:v>未执行</x:v>
      </x:c>
      <x:c r="H9" s="15"/>
    </x:row>
    <x:row r="10" ht="61" customHeight="1">
      <x:c r="A10" s="11" t="str">
        <x:v>MX-004</x:v>
      </x:c>
      <x:c r="B10" s="11" t="str">
        <x:v>突击兵</x:v>
      </x:c>
      <x:c r="C10" s="11" t="str">
        <x:v>裂片霰弹</x:v>
      </x:c>
      <x:c r="D10" s="11" t="str">
        <x:v>简单</x:v>
      </x:c>
      <x:c r="E10" s="11" t="str">
        <x:v>首页完成三步选择；进入第一关；开火与Q；暂停；检查锁定</x:v>
      </x:c>
      <x:c r="F10" s="11" t="str">
        <x:v>所选配置与HUD一致，枪械不切换，职业技能正确，难度倍率生效</x:v>
      </x:c>
      <x:c r="G10" s="15" t="str">
        <x:v>未执行</x:v>
      </x:c>
      <x:c r="H10" s="15"/>
    </x:row>
    <x:row r="11" ht="61" customHeight="1">
      <x:c r="A11" s="12" t="str">
        <x:v>MX-005</x:v>
      </x:c>
      <x:c r="B11" s="12" t="str">
        <x:v>突击兵</x:v>
      </x:c>
      <x:c r="C11" s="12" t="str">
        <x:v>裂片霰弹</x:v>
      </x:c>
      <x:c r="D11" s="12" t="str">
        <x:v>中等</x:v>
      </x:c>
      <x:c r="E11" s="12" t="str">
        <x:v>首页完成三步选择；进入第一关；开火与Q；暂停；检查锁定</x:v>
      </x:c>
      <x:c r="F11" s="12" t="str">
        <x:v>所选配置与HUD一致，枪械不切换，职业技能正确，难度倍率生效</x:v>
      </x:c>
      <x:c r="G11" s="15" t="str">
        <x:v>未执行</x:v>
      </x:c>
      <x:c r="H11" s="15"/>
    </x:row>
    <x:row r="12" ht="61" customHeight="1">
      <x:c r="A12" s="11" t="str">
        <x:v>MX-006</x:v>
      </x:c>
      <x:c r="B12" s="11" t="str">
        <x:v>突击兵</x:v>
      </x:c>
      <x:c r="C12" s="11" t="str">
        <x:v>裂片霰弹</x:v>
      </x:c>
      <x:c r="D12" s="11" t="str">
        <x:v>困难</x:v>
      </x:c>
      <x:c r="E12" s="11" t="str">
        <x:v>首页完成三步选择；进入第一关；开火与Q；暂停；检查锁定</x:v>
      </x:c>
      <x:c r="F12" s="11" t="str">
        <x:v>所选配置与HUD一致，枪械不切换，职业技能正确，难度倍率生效</x:v>
      </x:c>
      <x:c r="G12" s="15" t="str">
        <x:v>未执行</x:v>
      </x:c>
      <x:c r="H12" s="15"/>
    </x:row>
    <x:row r="13" ht="61" customHeight="1">
      <x:c r="A13" s="12" t="str">
        <x:v>MX-007</x:v>
      </x:c>
      <x:c r="B13" s="12" t="str">
        <x:v>突击兵</x:v>
      </x:c>
      <x:c r="C13" s="12" t="str">
        <x:v>磁轨狙击枪</x:v>
      </x:c>
      <x:c r="D13" s="12" t="str">
        <x:v>简单</x:v>
      </x:c>
      <x:c r="E13" s="12" t="str">
        <x:v>首页完成三步选择；进入第一关；开火与Q；暂停；检查锁定</x:v>
      </x:c>
      <x:c r="F13" s="12" t="str">
        <x:v>所选配置与HUD一致，枪械不切换，职业技能正确，难度倍率生效</x:v>
      </x:c>
      <x:c r="G13" s="15" t="str">
        <x:v>未执行</x:v>
      </x:c>
      <x:c r="H13" s="15"/>
    </x:row>
    <x:row r="14" ht="61" customHeight="1">
      <x:c r="A14" s="11" t="str">
        <x:v>MX-008</x:v>
      </x:c>
      <x:c r="B14" s="11" t="str">
        <x:v>突击兵</x:v>
      </x:c>
      <x:c r="C14" s="11" t="str">
        <x:v>磁轨狙击枪</x:v>
      </x:c>
      <x:c r="D14" s="11" t="str">
        <x:v>中等</x:v>
      </x:c>
      <x:c r="E14" s="11" t="str">
        <x:v>首页完成三步选择；进入第一关；开火与Q；暂停；检查锁定</x:v>
      </x:c>
      <x:c r="F14" s="11" t="str">
        <x:v>所选配置与HUD一致，枪械不切换，职业技能正确，难度倍率生效</x:v>
      </x:c>
      <x:c r="G14" s="15" t="str">
        <x:v>未执行</x:v>
      </x:c>
      <x:c r="H14" s="15"/>
    </x:row>
    <x:row r="15" ht="61" customHeight="1">
      <x:c r="A15" s="12" t="str">
        <x:v>MX-009</x:v>
      </x:c>
      <x:c r="B15" s="12" t="str">
        <x:v>突击兵</x:v>
      </x:c>
      <x:c r="C15" s="12" t="str">
        <x:v>磁轨狙击枪</x:v>
      </x:c>
      <x:c r="D15" s="12" t="str">
        <x:v>困难</x:v>
      </x:c>
      <x:c r="E15" s="12" t="str">
        <x:v>首页完成三步选择；进入第一关；开火与Q；暂停；检查锁定</x:v>
      </x:c>
      <x:c r="F15" s="12" t="str">
        <x:v>所选配置与HUD一致，枪械不切换，职业技能正确，难度倍率生效</x:v>
      </x:c>
      <x:c r="G15" s="15" t="str">
        <x:v>未执行</x:v>
      </x:c>
      <x:c r="H15" s="15"/>
    </x:row>
    <x:row r="16" ht="61" customHeight="1">
      <x:c r="A16" s="11" t="str">
        <x:v>MX-010</x:v>
      </x:c>
      <x:c r="B16" s="11" t="str">
        <x:v>突击兵</x:v>
      </x:c>
      <x:c r="C16" s="11" t="str">
        <x:v>重型机枪</x:v>
      </x:c>
      <x:c r="D16" s="11" t="str">
        <x:v>简单</x:v>
      </x:c>
      <x:c r="E16" s="11" t="str">
        <x:v>首页完成三步选择；进入第一关；开火与Q；暂停；检查锁定</x:v>
      </x:c>
      <x:c r="F16" s="11" t="str">
        <x:v>所选配置与HUD一致，枪械不切换，职业技能正确，难度倍率生效</x:v>
      </x:c>
      <x:c r="G16" s="15" t="str">
        <x:v>未执行</x:v>
      </x:c>
      <x:c r="H16" s="15"/>
    </x:row>
    <x:row r="17" ht="61" customHeight="1">
      <x:c r="A17" s="12" t="str">
        <x:v>MX-011</x:v>
      </x:c>
      <x:c r="B17" s="12" t="str">
        <x:v>突击兵</x:v>
      </x:c>
      <x:c r="C17" s="12" t="str">
        <x:v>重型机枪</x:v>
      </x:c>
      <x:c r="D17" s="12" t="str">
        <x:v>中等</x:v>
      </x:c>
      <x:c r="E17" s="12" t="str">
        <x:v>首页完成三步选择；进入第一关；开火与Q；暂停；检查锁定</x:v>
      </x:c>
      <x:c r="F17" s="12" t="str">
        <x:v>所选配置与HUD一致，枪械不切换，职业技能正确，难度倍率生效</x:v>
      </x:c>
      <x:c r="G17" s="15" t="str">
        <x:v>未执行</x:v>
      </x:c>
      <x:c r="H17" s="15"/>
    </x:row>
    <x:row r="18" ht="61" customHeight="1">
      <x:c r="A18" s="11" t="str">
        <x:v>MX-012</x:v>
      </x:c>
      <x:c r="B18" s="11" t="str">
        <x:v>突击兵</x:v>
      </x:c>
      <x:c r="C18" s="11" t="str">
        <x:v>重型机枪</x:v>
      </x:c>
      <x:c r="D18" s="11" t="str">
        <x:v>困难</x:v>
      </x:c>
      <x:c r="E18" s="11" t="str">
        <x:v>首页完成三步选择；进入第一关；开火与Q；暂停；检查锁定</x:v>
      </x:c>
      <x:c r="F18" s="11" t="str">
        <x:v>所选配置与HUD一致，枪械不切换，职业技能正确，难度倍率生效</x:v>
      </x:c>
      <x:c r="G18" s="15" t="str">
        <x:v>未执行</x:v>
      </x:c>
      <x:c r="H18" s="15"/>
    </x:row>
    <x:row r="19" ht="61" customHeight="1">
      <x:c r="A19" s="12" t="str">
        <x:v>MX-013</x:v>
      </x:c>
      <x:c r="B19" s="12" t="str">
        <x:v>突击兵</x:v>
      </x:c>
      <x:c r="C19" s="12" t="str">
        <x:v>蜂群冲锋枪</x:v>
      </x:c>
      <x:c r="D19" s="12" t="str">
        <x:v>简单</x:v>
      </x:c>
      <x:c r="E19" s="12" t="str">
        <x:v>首页完成三步选择；进入第一关；开火与Q；暂停；检查锁定</x:v>
      </x:c>
      <x:c r="F19" s="12" t="str">
        <x:v>所选配置与HUD一致，枪械不切换，职业技能正确，难度倍率生效</x:v>
      </x:c>
      <x:c r="G19" s="15" t="str">
        <x:v>未执行</x:v>
      </x:c>
      <x:c r="H19" s="15"/>
    </x:row>
    <x:row r="20" ht="61" customHeight="1">
      <x:c r="A20" s="11" t="str">
        <x:v>MX-014</x:v>
      </x:c>
      <x:c r="B20" s="11" t="str">
        <x:v>突击兵</x:v>
      </x:c>
      <x:c r="C20" s="11" t="str">
        <x:v>蜂群冲锋枪</x:v>
      </x:c>
      <x:c r="D20" s="11" t="str">
        <x:v>中等</x:v>
      </x:c>
      <x:c r="E20" s="11" t="str">
        <x:v>首页完成三步选择；进入第一关；开火与Q；暂停；检查锁定</x:v>
      </x:c>
      <x:c r="F20" s="11" t="str">
        <x:v>所选配置与HUD一致，枪械不切换，职业技能正确，难度倍率生效</x:v>
      </x:c>
      <x:c r="G20" s="15" t="str">
        <x:v>未执行</x:v>
      </x:c>
      <x:c r="H20" s="15"/>
    </x:row>
    <x:row r="21" ht="61" customHeight="1">
      <x:c r="A21" s="12" t="str">
        <x:v>MX-015</x:v>
      </x:c>
      <x:c r="B21" s="12" t="str">
        <x:v>突击兵</x:v>
      </x:c>
      <x:c r="C21" s="12" t="str">
        <x:v>蜂群冲锋枪</x:v>
      </x:c>
      <x:c r="D21" s="12" t="str">
        <x:v>困难</x:v>
      </x:c>
      <x:c r="E21" s="12" t="str">
        <x:v>首页完成三步选择；进入第一关；开火与Q；暂停；检查锁定</x:v>
      </x:c>
      <x:c r="F21" s="12" t="str">
        <x:v>所选配置与HUD一致，枪械不切换，职业技能正确，难度倍率生效</x:v>
      </x:c>
      <x:c r="G21" s="15" t="str">
        <x:v>未执行</x:v>
      </x:c>
      <x:c r="H21" s="15"/>
    </x:row>
    <x:row r="22" ht="61" customHeight="1">
      <x:c r="A22" s="11" t="str">
        <x:v>MX-016</x:v>
      </x:c>
      <x:c r="B22" s="11" t="str">
        <x:v>医疗兵</x:v>
      </x:c>
      <x:c r="C22" s="11" t="str">
        <x:v>脉冲步枪</x:v>
      </x:c>
      <x:c r="D22" s="11" t="str">
        <x:v>简单</x:v>
      </x:c>
      <x:c r="E22" s="11" t="str">
        <x:v>首页完成三步选择；进入第一关；开火与Q；暂停；检查锁定</x:v>
      </x:c>
      <x:c r="F22" s="11" t="str">
        <x:v>所选配置与HUD一致，枪械不切换，职业技能正确，难度倍率生效</x:v>
      </x:c>
      <x:c r="G22" s="15" t="str">
        <x:v>未执行</x:v>
      </x:c>
      <x:c r="H22" s="15"/>
    </x:row>
    <x:row r="23" ht="61" customHeight="1">
      <x:c r="A23" s="12" t="str">
        <x:v>MX-017</x:v>
      </x:c>
      <x:c r="B23" s="12" t="str">
        <x:v>医疗兵</x:v>
      </x:c>
      <x:c r="C23" s="12" t="str">
        <x:v>脉冲步枪</x:v>
      </x:c>
      <x:c r="D23" s="12" t="str">
        <x:v>中等</x:v>
      </x:c>
      <x:c r="E23" s="12" t="str">
        <x:v>首页完成三步选择；进入第一关；开火与Q；暂停；检查锁定</x:v>
      </x:c>
      <x:c r="F23" s="12" t="str">
        <x:v>所选配置与HUD一致，枪械不切换，职业技能正确，难度倍率生效</x:v>
      </x:c>
      <x:c r="G23" s="15" t="str">
        <x:v>未执行</x:v>
      </x:c>
      <x:c r="H23" s="15"/>
    </x:row>
    <x:row r="24" ht="61" customHeight="1">
      <x:c r="A24" s="11" t="str">
        <x:v>MX-018</x:v>
      </x:c>
      <x:c r="B24" s="11" t="str">
        <x:v>医疗兵</x:v>
      </x:c>
      <x:c r="C24" s="11" t="str">
        <x:v>脉冲步枪</x:v>
      </x:c>
      <x:c r="D24" s="11" t="str">
        <x:v>困难</x:v>
      </x:c>
      <x:c r="E24" s="11" t="str">
        <x:v>首页完成三步选择；进入第一关；开火与Q；暂停；检查锁定</x:v>
      </x:c>
      <x:c r="F24" s="11" t="str">
        <x:v>所选配置与HUD一致，枪械不切换，职业技能正确，难度倍率生效</x:v>
      </x:c>
      <x:c r="G24" s="15" t="str">
        <x:v>未执行</x:v>
      </x:c>
      <x:c r="H24" s="15"/>
    </x:row>
    <x:row r="25" ht="61" customHeight="1">
      <x:c r="A25" s="12" t="str">
        <x:v>MX-019</x:v>
      </x:c>
      <x:c r="B25" s="12" t="str">
        <x:v>医疗兵</x:v>
      </x:c>
      <x:c r="C25" s="12" t="str">
        <x:v>裂片霰弹</x:v>
      </x:c>
      <x:c r="D25" s="12" t="str">
        <x:v>简单</x:v>
      </x:c>
      <x:c r="E25" s="12" t="str">
        <x:v>首页完成三步选择；进入第一关；开火与Q；暂停；检查锁定</x:v>
      </x:c>
      <x:c r="F25" s="12" t="str">
        <x:v>所选配置与HUD一致，枪械不切换，职业技能正确，难度倍率生效</x:v>
      </x:c>
      <x:c r="G25" s="15" t="str">
        <x:v>未执行</x:v>
      </x:c>
      <x:c r="H25" s="15"/>
    </x:row>
    <x:row r="26" ht="61" customHeight="1">
      <x:c r="A26" s="11" t="str">
        <x:v>MX-020</x:v>
      </x:c>
      <x:c r="B26" s="11" t="str">
        <x:v>医疗兵</x:v>
      </x:c>
      <x:c r="C26" s="11" t="str">
        <x:v>裂片霰弹</x:v>
      </x:c>
      <x:c r="D26" s="11" t="str">
        <x:v>中等</x:v>
      </x:c>
      <x:c r="E26" s="11" t="str">
        <x:v>首页完成三步选择；进入第一关；开火与Q；暂停；检查锁定</x:v>
      </x:c>
      <x:c r="F26" s="11" t="str">
        <x:v>所选配置与HUD一致，枪械不切换，职业技能正确，难度倍率生效</x:v>
      </x:c>
      <x:c r="G26" s="15" t="str">
        <x:v>未执行</x:v>
      </x:c>
      <x:c r="H26" s="15"/>
    </x:row>
    <x:row r="27" ht="61" customHeight="1">
      <x:c r="A27" s="12" t="str">
        <x:v>MX-021</x:v>
      </x:c>
      <x:c r="B27" s="12" t="str">
        <x:v>医疗兵</x:v>
      </x:c>
      <x:c r="C27" s="12" t="str">
        <x:v>裂片霰弹</x:v>
      </x:c>
      <x:c r="D27" s="12" t="str">
        <x:v>困难</x:v>
      </x:c>
      <x:c r="E27" s="12" t="str">
        <x:v>首页完成三步选择；进入第一关；开火与Q；暂停；检查锁定</x:v>
      </x:c>
      <x:c r="F27" s="12" t="str">
        <x:v>所选配置与HUD一致，枪械不切换，职业技能正确，难度倍率生效</x:v>
      </x:c>
      <x:c r="G27" s="15" t="str">
        <x:v>未执行</x:v>
      </x:c>
      <x:c r="H27" s="15"/>
    </x:row>
    <x:row r="28" ht="61" customHeight="1">
      <x:c r="A28" s="11" t="str">
        <x:v>MX-022</x:v>
      </x:c>
      <x:c r="B28" s="11" t="str">
        <x:v>医疗兵</x:v>
      </x:c>
      <x:c r="C28" s="11" t="str">
        <x:v>磁轨狙击枪</x:v>
      </x:c>
      <x:c r="D28" s="11" t="str">
        <x:v>简单</x:v>
      </x:c>
      <x:c r="E28" s="11" t="str">
        <x:v>首页完成三步选择；进入第一关；开火与Q；暂停；检查锁定</x:v>
      </x:c>
      <x:c r="F28" s="11" t="str">
        <x:v>所选配置与HUD一致，枪械不切换，职业技能正确，难度倍率生效</x:v>
      </x:c>
      <x:c r="G28" s="15" t="str">
        <x:v>未执行</x:v>
      </x:c>
      <x:c r="H28" s="15"/>
    </x:row>
    <x:row r="29" ht="61" customHeight="1">
      <x:c r="A29" s="12" t="str">
        <x:v>MX-023</x:v>
      </x:c>
      <x:c r="B29" s="12" t="str">
        <x:v>医疗兵</x:v>
      </x:c>
      <x:c r="C29" s="12" t="str">
        <x:v>磁轨狙击枪</x:v>
      </x:c>
      <x:c r="D29" s="12" t="str">
        <x:v>中等</x:v>
      </x:c>
      <x:c r="E29" s="12" t="str">
        <x:v>首页完成三步选择；进入第一关；开火与Q；暂停；检查锁定</x:v>
      </x:c>
      <x:c r="F29" s="12" t="str">
        <x:v>所选配置与HUD一致，枪械不切换，职业技能正确，难度倍率生效</x:v>
      </x:c>
      <x:c r="G29" s="15" t="str">
        <x:v>未执行</x:v>
      </x:c>
      <x:c r="H29" s="15"/>
    </x:row>
    <x:row r="30" ht="61" customHeight="1">
      <x:c r="A30" s="11" t="str">
        <x:v>MX-024</x:v>
      </x:c>
      <x:c r="B30" s="11" t="str">
        <x:v>医疗兵</x:v>
      </x:c>
      <x:c r="C30" s="11" t="str">
        <x:v>磁轨狙击枪</x:v>
      </x:c>
      <x:c r="D30" s="11" t="str">
        <x:v>困难</x:v>
      </x:c>
      <x:c r="E30" s="11" t="str">
        <x:v>首页完成三步选择；进入第一关；开火与Q；暂停；检查锁定</x:v>
      </x:c>
      <x:c r="F30" s="11" t="str">
        <x:v>所选配置与HUD一致，枪械不切换，职业技能正确，难度倍率生效</x:v>
      </x:c>
      <x:c r="G30" s="15" t="str">
        <x:v>未执行</x:v>
      </x:c>
      <x:c r="H30" s="15"/>
    </x:row>
    <x:row r="31" ht="61" customHeight="1">
      <x:c r="A31" s="12" t="str">
        <x:v>MX-025</x:v>
      </x:c>
      <x:c r="B31" s="12" t="str">
        <x:v>医疗兵</x:v>
      </x:c>
      <x:c r="C31" s="12" t="str">
        <x:v>重型机枪</x:v>
      </x:c>
      <x:c r="D31" s="12" t="str">
        <x:v>简单</x:v>
      </x:c>
      <x:c r="E31" s="12" t="str">
        <x:v>首页完成三步选择；进入第一关；开火与Q；暂停；检查锁定</x:v>
      </x:c>
      <x:c r="F31" s="12" t="str">
        <x:v>所选配置与HUD一致，枪械不切换，职业技能正确，难度倍率生效</x:v>
      </x:c>
      <x:c r="G31" s="15" t="str">
        <x:v>未执行</x:v>
      </x:c>
      <x:c r="H31" s="15"/>
    </x:row>
    <x:row r="32" ht="61" customHeight="1">
      <x:c r="A32" s="11" t="str">
        <x:v>MX-026</x:v>
      </x:c>
      <x:c r="B32" s="11" t="str">
        <x:v>医疗兵</x:v>
      </x:c>
      <x:c r="C32" s="11" t="str">
        <x:v>重型机枪</x:v>
      </x:c>
      <x:c r="D32" s="11" t="str">
        <x:v>中等</x:v>
      </x:c>
      <x:c r="E32" s="11" t="str">
        <x:v>首页完成三步选择；进入第一关；开火与Q；暂停；检查锁定</x:v>
      </x:c>
      <x:c r="F32" s="11" t="str">
        <x:v>所选配置与HUD一致，枪械不切换，职业技能正确，难度倍率生效</x:v>
      </x:c>
      <x:c r="G32" s="15" t="str">
        <x:v>未执行</x:v>
      </x:c>
      <x:c r="H32" s="15"/>
    </x:row>
    <x:row r="33" ht="61" customHeight="1">
      <x:c r="A33" s="12" t="str">
        <x:v>MX-027</x:v>
      </x:c>
      <x:c r="B33" s="12" t="str">
        <x:v>医疗兵</x:v>
      </x:c>
      <x:c r="C33" s="12" t="str">
        <x:v>重型机枪</x:v>
      </x:c>
      <x:c r="D33" s="12" t="str">
        <x:v>困难</x:v>
      </x:c>
      <x:c r="E33" s="12" t="str">
        <x:v>首页完成三步选择；进入第一关；开火与Q；暂停；检查锁定</x:v>
      </x:c>
      <x:c r="F33" s="12" t="str">
        <x:v>所选配置与HUD一致，枪械不切换，职业技能正确，难度倍率生效</x:v>
      </x:c>
      <x:c r="G33" s="15" t="str">
        <x:v>未执行</x:v>
      </x:c>
      <x:c r="H33" s="15"/>
    </x:row>
    <x:row r="34" ht="61" customHeight="1">
      <x:c r="A34" s="11" t="str">
        <x:v>MX-028</x:v>
      </x:c>
      <x:c r="B34" s="11" t="str">
        <x:v>医疗兵</x:v>
      </x:c>
      <x:c r="C34" s="11" t="str">
        <x:v>蜂群冲锋枪</x:v>
      </x:c>
      <x:c r="D34" s="11" t="str">
        <x:v>简单</x:v>
      </x:c>
      <x:c r="E34" s="11" t="str">
        <x:v>首页完成三步选择；进入第一关；开火与Q；暂停；检查锁定</x:v>
      </x:c>
      <x:c r="F34" s="11" t="str">
        <x:v>所选配置与HUD一致，枪械不切换，职业技能正确，难度倍率生效</x:v>
      </x:c>
      <x:c r="G34" s="15" t="str">
        <x:v>未执行</x:v>
      </x:c>
      <x:c r="H34" s="15"/>
    </x:row>
    <x:row r="35" ht="61" customHeight="1">
      <x:c r="A35" s="12" t="str">
        <x:v>MX-029</x:v>
      </x:c>
      <x:c r="B35" s="12" t="str">
        <x:v>医疗兵</x:v>
      </x:c>
      <x:c r="C35" s="12" t="str">
        <x:v>蜂群冲锋枪</x:v>
      </x:c>
      <x:c r="D35" s="12" t="str">
        <x:v>中等</x:v>
      </x:c>
      <x:c r="E35" s="12" t="str">
        <x:v>首页完成三步选择；进入第一关；开火与Q；暂停；检查锁定</x:v>
      </x:c>
      <x:c r="F35" s="12" t="str">
        <x:v>所选配置与HUD一致，枪械不切换，职业技能正确，难度倍率生效</x:v>
      </x:c>
      <x:c r="G35" s="15" t="str">
        <x:v>未执行</x:v>
      </x:c>
      <x:c r="H35" s="15"/>
    </x:row>
    <x:row r="36" ht="61" customHeight="1">
      <x:c r="A36" s="11" t="str">
        <x:v>MX-030</x:v>
      </x:c>
      <x:c r="B36" s="11" t="str">
        <x:v>医疗兵</x:v>
      </x:c>
      <x:c r="C36" s="11" t="str">
        <x:v>蜂群冲锋枪</x:v>
      </x:c>
      <x:c r="D36" s="11" t="str">
        <x:v>困难</x:v>
      </x:c>
      <x:c r="E36" s="11" t="str">
        <x:v>首页完成三步选择；进入第一关；开火与Q；暂停；检查锁定</x:v>
      </x:c>
      <x:c r="F36" s="11" t="str">
        <x:v>所选配置与HUD一致，枪械不切换，职业技能正确，难度倍率生效</x:v>
      </x:c>
      <x:c r="G36" s="15" t="str">
        <x:v>未执行</x:v>
      </x:c>
      <x:c r="H36" s="15"/>
    </x:row>
    <x:row r="37" ht="61" customHeight="1">
      <x:c r="A37" s="12" t="str">
        <x:v>MX-031</x:v>
      </x:c>
      <x:c r="B37" s="12" t="str">
        <x:v>工程师</x:v>
      </x:c>
      <x:c r="C37" s="12" t="str">
        <x:v>脉冲步枪</x:v>
      </x:c>
      <x:c r="D37" s="12" t="str">
        <x:v>简单</x:v>
      </x:c>
      <x:c r="E37" s="12" t="str">
        <x:v>首页完成三步选择；进入第一关；开火与Q；暂停；检查锁定</x:v>
      </x:c>
      <x:c r="F37" s="12" t="str">
        <x:v>所选配置与HUD一致，枪械不切换，职业技能正确，难度倍率生效</x:v>
      </x:c>
      <x:c r="G37" s="15" t="str">
        <x:v>未执行</x:v>
      </x:c>
      <x:c r="H37" s="15"/>
    </x:row>
    <x:row r="38" ht="61" customHeight="1">
      <x:c r="A38" s="11" t="str">
        <x:v>MX-032</x:v>
      </x:c>
      <x:c r="B38" s="11" t="str">
        <x:v>工程师</x:v>
      </x:c>
      <x:c r="C38" s="11" t="str">
        <x:v>脉冲步枪</x:v>
      </x:c>
      <x:c r="D38" s="11" t="str">
        <x:v>中等</x:v>
      </x:c>
      <x:c r="E38" s="11" t="str">
        <x:v>首页完成三步选择；进入第一关；开火与Q；暂停；检查锁定</x:v>
      </x:c>
      <x:c r="F38" s="11" t="str">
        <x:v>所选配置与HUD一致，枪械不切换，职业技能正确，难度倍率生效</x:v>
      </x:c>
      <x:c r="G38" s="15" t="str">
        <x:v>未执行</x:v>
      </x:c>
      <x:c r="H38" s="15"/>
    </x:row>
    <x:row r="39" ht="61" customHeight="1">
      <x:c r="A39" s="12" t="str">
        <x:v>MX-033</x:v>
      </x:c>
      <x:c r="B39" s="12" t="str">
        <x:v>工程师</x:v>
      </x:c>
      <x:c r="C39" s="12" t="str">
        <x:v>脉冲步枪</x:v>
      </x:c>
      <x:c r="D39" s="12" t="str">
        <x:v>困难</x:v>
      </x:c>
      <x:c r="E39" s="12" t="str">
        <x:v>首页完成三步选择；进入第一关；开火与Q；暂停；检查锁定</x:v>
      </x:c>
      <x:c r="F39" s="12" t="str">
        <x:v>所选配置与HUD一致，枪械不切换，职业技能正确，难度倍率生效</x:v>
      </x:c>
      <x:c r="G39" s="15" t="str">
        <x:v>未执行</x:v>
      </x:c>
      <x:c r="H39" s="15"/>
    </x:row>
    <x:row r="40" ht="61" customHeight="1">
      <x:c r="A40" s="11" t="str">
        <x:v>MX-034</x:v>
      </x:c>
      <x:c r="B40" s="11" t="str">
        <x:v>工程师</x:v>
      </x:c>
      <x:c r="C40" s="11" t="str">
        <x:v>裂片霰弹</x:v>
      </x:c>
      <x:c r="D40" s="11" t="str">
        <x:v>简单</x:v>
      </x:c>
      <x:c r="E40" s="11" t="str">
        <x:v>首页完成三步选择；进入第一关；开火与Q；暂停；检查锁定</x:v>
      </x:c>
      <x:c r="F40" s="11" t="str">
        <x:v>所选配置与HUD一致，枪械不切换，职业技能正确，难度倍率生效</x:v>
      </x:c>
      <x:c r="G40" s="15" t="str">
        <x:v>未执行</x:v>
      </x:c>
      <x:c r="H40" s="15"/>
    </x:row>
    <x:row r="41" ht="61" customHeight="1">
      <x:c r="A41" s="12" t="str">
        <x:v>MX-035</x:v>
      </x:c>
      <x:c r="B41" s="12" t="str">
        <x:v>工程师</x:v>
      </x:c>
      <x:c r="C41" s="12" t="str">
        <x:v>裂片霰弹</x:v>
      </x:c>
      <x:c r="D41" s="12" t="str">
        <x:v>中等</x:v>
      </x:c>
      <x:c r="E41" s="12" t="str">
        <x:v>首页完成三步选择；进入第一关；开火与Q；暂停；检查锁定</x:v>
      </x:c>
      <x:c r="F41" s="12" t="str">
        <x:v>所选配置与HUD一致，枪械不切换，职业技能正确，难度倍率生效</x:v>
      </x:c>
      <x:c r="G41" s="15" t="str">
        <x:v>未执行</x:v>
      </x:c>
      <x:c r="H41" s="15"/>
    </x:row>
    <x:row r="42" ht="61" customHeight="1">
      <x:c r="A42" s="11" t="str">
        <x:v>MX-036</x:v>
      </x:c>
      <x:c r="B42" s="11" t="str">
        <x:v>工程师</x:v>
      </x:c>
      <x:c r="C42" s="11" t="str">
        <x:v>裂片霰弹</x:v>
      </x:c>
      <x:c r="D42" s="11" t="str">
        <x:v>困难</x:v>
      </x:c>
      <x:c r="E42" s="11" t="str">
        <x:v>首页完成三步选择；进入第一关；开火与Q；暂停；检查锁定</x:v>
      </x:c>
      <x:c r="F42" s="11" t="str">
        <x:v>所选配置与HUD一致，枪械不切换，职业技能正确，难度倍率生效</x:v>
      </x:c>
      <x:c r="G42" s="15" t="str">
        <x:v>未执行</x:v>
      </x:c>
      <x:c r="H42" s="15"/>
    </x:row>
    <x:row r="43" ht="61" customHeight="1">
      <x:c r="A43" s="12" t="str">
        <x:v>MX-037</x:v>
      </x:c>
      <x:c r="B43" s="12" t="str">
        <x:v>工程师</x:v>
      </x:c>
      <x:c r="C43" s="12" t="str">
        <x:v>磁轨狙击枪</x:v>
      </x:c>
      <x:c r="D43" s="12" t="str">
        <x:v>简单</x:v>
      </x:c>
      <x:c r="E43" s="12" t="str">
        <x:v>首页完成三步选择；进入第一关；开火与Q；暂停；检查锁定</x:v>
      </x:c>
      <x:c r="F43" s="12" t="str">
        <x:v>所选配置与HUD一致，枪械不切换，职业技能正确，难度倍率生效</x:v>
      </x:c>
      <x:c r="G43" s="15" t="str">
        <x:v>未执行</x:v>
      </x:c>
      <x:c r="H43" s="15"/>
    </x:row>
    <x:row r="44" ht="61" customHeight="1">
      <x:c r="A44" s="11" t="str">
        <x:v>MX-038</x:v>
      </x:c>
      <x:c r="B44" s="11" t="str">
        <x:v>工程师</x:v>
      </x:c>
      <x:c r="C44" s="11" t="str">
        <x:v>磁轨狙击枪</x:v>
      </x:c>
      <x:c r="D44" s="11" t="str">
        <x:v>中等</x:v>
      </x:c>
      <x:c r="E44" s="11" t="str">
        <x:v>首页完成三步选择；进入第一关；开火与Q；暂停；检查锁定</x:v>
      </x:c>
      <x:c r="F44" s="11" t="str">
        <x:v>所选配置与HUD一致，枪械不切换，职业技能正确，难度倍率生效</x:v>
      </x:c>
      <x:c r="G44" s="15" t="str">
        <x:v>未执行</x:v>
      </x:c>
      <x:c r="H44" s="15"/>
    </x:row>
    <x:row r="45" ht="61" customHeight="1">
      <x:c r="A45" s="12" t="str">
        <x:v>MX-039</x:v>
      </x:c>
      <x:c r="B45" s="12" t="str">
        <x:v>工程师</x:v>
      </x:c>
      <x:c r="C45" s="12" t="str">
        <x:v>磁轨狙击枪</x:v>
      </x:c>
      <x:c r="D45" s="12" t="str">
        <x:v>困难</x:v>
      </x:c>
      <x:c r="E45" s="12" t="str">
        <x:v>首页完成三步选择；进入第一关；开火与Q；暂停；检查锁定</x:v>
      </x:c>
      <x:c r="F45" s="12" t="str">
        <x:v>所选配置与HUD一致，枪械不切换，职业技能正确，难度倍率生效</x:v>
      </x:c>
      <x:c r="G45" s="15" t="str">
        <x:v>未执行</x:v>
      </x:c>
      <x:c r="H45" s="15"/>
    </x:row>
    <x:row r="46" ht="61" customHeight="1">
      <x:c r="A46" s="11" t="str">
        <x:v>MX-040</x:v>
      </x:c>
      <x:c r="B46" s="11" t="str">
        <x:v>工程师</x:v>
      </x:c>
      <x:c r="C46" s="11" t="str">
        <x:v>重型机枪</x:v>
      </x:c>
      <x:c r="D46" s="11" t="str">
        <x:v>简单</x:v>
      </x:c>
      <x:c r="E46" s="11" t="str">
        <x:v>首页完成三步选择；进入第一关；开火与Q；暂停；检查锁定</x:v>
      </x:c>
      <x:c r="F46" s="11" t="str">
        <x:v>所选配置与HUD一致，枪械不切换，职业技能正确，难度倍率生效</x:v>
      </x:c>
      <x:c r="G46" s="15" t="str">
        <x:v>未执行</x:v>
      </x:c>
      <x:c r="H46" s="15"/>
    </x:row>
    <x:row r="47" ht="61" customHeight="1">
      <x:c r="A47" s="12" t="str">
        <x:v>MX-041</x:v>
      </x:c>
      <x:c r="B47" s="12" t="str">
        <x:v>工程师</x:v>
      </x:c>
      <x:c r="C47" s="12" t="str">
        <x:v>重型机枪</x:v>
      </x:c>
      <x:c r="D47" s="12" t="str">
        <x:v>中等</x:v>
      </x:c>
      <x:c r="E47" s="12" t="str">
        <x:v>首页完成三步选择；进入第一关；开火与Q；暂停；检查锁定</x:v>
      </x:c>
      <x:c r="F47" s="12" t="str">
        <x:v>所选配置与HUD一致，枪械不切换，职业技能正确，难度倍率生效</x:v>
      </x:c>
      <x:c r="G47" s="15" t="str">
        <x:v>未执行</x:v>
      </x:c>
      <x:c r="H47" s="15"/>
    </x:row>
    <x:row r="48" ht="61" customHeight="1">
      <x:c r="A48" s="11" t="str">
        <x:v>MX-042</x:v>
      </x:c>
      <x:c r="B48" s="11" t="str">
        <x:v>工程师</x:v>
      </x:c>
      <x:c r="C48" s="11" t="str">
        <x:v>重型机枪</x:v>
      </x:c>
      <x:c r="D48" s="11" t="str">
        <x:v>困难</x:v>
      </x:c>
      <x:c r="E48" s="11" t="str">
        <x:v>首页完成三步选择；进入第一关；开火与Q；暂停；检查锁定</x:v>
      </x:c>
      <x:c r="F48" s="11" t="str">
        <x:v>所选配置与HUD一致，枪械不切换，职业技能正确，难度倍率生效</x:v>
      </x:c>
      <x:c r="G48" s="15" t="str">
        <x:v>未执行</x:v>
      </x:c>
      <x:c r="H48" s="15"/>
    </x:row>
    <x:row r="49" ht="61" customHeight="1">
      <x:c r="A49" s="12" t="str">
        <x:v>MX-043</x:v>
      </x:c>
      <x:c r="B49" s="12" t="str">
        <x:v>工程师</x:v>
      </x:c>
      <x:c r="C49" s="12" t="str">
        <x:v>蜂群冲锋枪</x:v>
      </x:c>
      <x:c r="D49" s="12" t="str">
        <x:v>简单</x:v>
      </x:c>
      <x:c r="E49" s="12" t="str">
        <x:v>首页完成三步选择；进入第一关；开火与Q；暂停；检查锁定</x:v>
      </x:c>
      <x:c r="F49" s="12" t="str">
        <x:v>所选配置与HUD一致，枪械不切换，职业技能正确，难度倍率生效</x:v>
      </x:c>
      <x:c r="G49" s="15" t="str">
        <x:v>未执行</x:v>
      </x:c>
      <x:c r="H49" s="15"/>
    </x:row>
    <x:row r="50" ht="61" customHeight="1">
      <x:c r="A50" s="11" t="str">
        <x:v>MX-044</x:v>
      </x:c>
      <x:c r="B50" s="11" t="str">
        <x:v>工程师</x:v>
      </x:c>
      <x:c r="C50" s="11" t="str">
        <x:v>蜂群冲锋枪</x:v>
      </x:c>
      <x:c r="D50" s="11" t="str">
        <x:v>中等</x:v>
      </x:c>
      <x:c r="E50" s="11" t="str">
        <x:v>首页完成三步选择；进入第一关；开火与Q；暂停；检查锁定</x:v>
      </x:c>
      <x:c r="F50" s="11" t="str">
        <x:v>所选配置与HUD一致，枪械不切换，职业技能正确，难度倍率生效</x:v>
      </x:c>
      <x:c r="G50" s="15" t="str">
        <x:v>未执行</x:v>
      </x:c>
      <x:c r="H50" s="15"/>
    </x:row>
    <x:row r="51" ht="61" customHeight="1">
      <x:c r="A51" s="12" t="str">
        <x:v>MX-045</x:v>
      </x:c>
      <x:c r="B51" s="12" t="str">
        <x:v>工程师</x:v>
      </x:c>
      <x:c r="C51" s="12" t="str">
        <x:v>蜂群冲锋枪</x:v>
      </x:c>
      <x:c r="D51" s="12" t="str">
        <x:v>困难</x:v>
      </x:c>
      <x:c r="E51" s="12" t="str">
        <x:v>首页完成三步选择；进入第一关；开火与Q；暂停；检查锁定</x:v>
      </x:c>
      <x:c r="F51" s="12" t="str">
        <x:v>所选配置与HUD一致，枪械不切换，职业技能正确，难度倍率生效</x:v>
      </x:c>
      <x:c r="G51" s="15" t="str">
        <x:v>未执行</x:v>
      </x:c>
      <x:c r="H51" s="15"/>
    </x:row>
    <x:row r="52" ht="61" customHeight="1">
      <x:c r="A52" s="11" t="str">
        <x:v>MX-046</x:v>
      </x:c>
      <x:c r="B52" s="11" t="str">
        <x:v>侦察兵</x:v>
      </x:c>
      <x:c r="C52" s="11" t="str">
        <x:v>脉冲步枪</x:v>
      </x:c>
      <x:c r="D52" s="11" t="str">
        <x:v>简单</x:v>
      </x:c>
      <x:c r="E52" s="11" t="str">
        <x:v>首页完成三步选择；进入第一关；开火与Q；暂停；检查锁定</x:v>
      </x:c>
      <x:c r="F52" s="11" t="str">
        <x:v>所选配置与HUD一致，枪械不切换，职业技能正确，难度倍率生效</x:v>
      </x:c>
      <x:c r="G52" s="15" t="str">
        <x:v>未执行</x:v>
      </x:c>
      <x:c r="H52" s="15"/>
    </x:row>
    <x:row r="53" ht="61" customHeight="1">
      <x:c r="A53" s="12" t="str">
        <x:v>MX-047</x:v>
      </x:c>
      <x:c r="B53" s="12" t="str">
        <x:v>侦察兵</x:v>
      </x:c>
      <x:c r="C53" s="12" t="str">
        <x:v>脉冲步枪</x:v>
      </x:c>
      <x:c r="D53" s="12" t="str">
        <x:v>中等</x:v>
      </x:c>
      <x:c r="E53" s="12" t="str">
        <x:v>首页完成三步选择；进入第一关；开火与Q；暂停；检查锁定</x:v>
      </x:c>
      <x:c r="F53" s="12" t="str">
        <x:v>所选配置与HUD一致，枪械不切换，职业技能正确，难度倍率生效</x:v>
      </x:c>
      <x:c r="G53" s="15" t="str">
        <x:v>未执行</x:v>
      </x:c>
      <x:c r="H53" s="15"/>
    </x:row>
    <x:row r="54" ht="61" customHeight="1">
      <x:c r="A54" s="11" t="str">
        <x:v>MX-048</x:v>
      </x:c>
      <x:c r="B54" s="11" t="str">
        <x:v>侦察兵</x:v>
      </x:c>
      <x:c r="C54" s="11" t="str">
        <x:v>脉冲步枪</x:v>
      </x:c>
      <x:c r="D54" s="11" t="str">
        <x:v>困难</x:v>
      </x:c>
      <x:c r="E54" s="11" t="str">
        <x:v>首页完成三步选择；进入第一关；开火与Q；暂停；检查锁定</x:v>
      </x:c>
      <x:c r="F54" s="11" t="str">
        <x:v>所选配置与HUD一致，枪械不切换，职业技能正确，难度倍率生效</x:v>
      </x:c>
      <x:c r="G54" s="15" t="str">
        <x:v>未执行</x:v>
      </x:c>
      <x:c r="H54" s="15"/>
    </x:row>
    <x:row r="55" ht="61" customHeight="1">
      <x:c r="A55" s="12" t="str">
        <x:v>MX-049</x:v>
      </x:c>
      <x:c r="B55" s="12" t="str">
        <x:v>侦察兵</x:v>
      </x:c>
      <x:c r="C55" s="12" t="str">
        <x:v>裂片霰弹</x:v>
      </x:c>
      <x:c r="D55" s="12" t="str">
        <x:v>简单</x:v>
      </x:c>
      <x:c r="E55" s="12" t="str">
        <x:v>首页完成三步选择；进入第一关；开火与Q；暂停；检查锁定</x:v>
      </x:c>
      <x:c r="F55" s="12" t="str">
        <x:v>所选配置与HUD一致，枪械不切换，职业技能正确，难度倍率生效</x:v>
      </x:c>
      <x:c r="G55" s="15" t="str">
        <x:v>未执行</x:v>
      </x:c>
      <x:c r="H55" s="15"/>
    </x:row>
    <x:row r="56" ht="61" customHeight="1">
      <x:c r="A56" s="11" t="str">
        <x:v>MX-050</x:v>
      </x:c>
      <x:c r="B56" s="11" t="str">
        <x:v>侦察兵</x:v>
      </x:c>
      <x:c r="C56" s="11" t="str">
        <x:v>裂片霰弹</x:v>
      </x:c>
      <x:c r="D56" s="11" t="str">
        <x:v>中等</x:v>
      </x:c>
      <x:c r="E56" s="11" t="str">
        <x:v>首页完成三步选择；进入第一关；开火与Q；暂停；检查锁定</x:v>
      </x:c>
      <x:c r="F56" s="11" t="str">
        <x:v>所选配置与HUD一致，枪械不切换，职业技能正确，难度倍率生效</x:v>
      </x:c>
      <x:c r="G56" s="15" t="str">
        <x:v>未执行</x:v>
      </x:c>
      <x:c r="H56" s="15"/>
    </x:row>
    <x:row r="57" ht="61" customHeight="1">
      <x:c r="A57" s="12" t="str">
        <x:v>MX-051</x:v>
      </x:c>
      <x:c r="B57" s="12" t="str">
        <x:v>侦察兵</x:v>
      </x:c>
      <x:c r="C57" s="12" t="str">
        <x:v>裂片霰弹</x:v>
      </x:c>
      <x:c r="D57" s="12" t="str">
        <x:v>困难</x:v>
      </x:c>
      <x:c r="E57" s="12" t="str">
        <x:v>首页完成三步选择；进入第一关；开火与Q；暂停；检查锁定</x:v>
      </x:c>
      <x:c r="F57" s="12" t="str">
        <x:v>所选配置与HUD一致，枪械不切换，职业技能正确，难度倍率生效</x:v>
      </x:c>
      <x:c r="G57" s="15" t="str">
        <x:v>未执行</x:v>
      </x:c>
      <x:c r="H57" s="15"/>
    </x:row>
    <x:row r="58" ht="61" customHeight="1">
      <x:c r="A58" s="11" t="str">
        <x:v>MX-052</x:v>
      </x:c>
      <x:c r="B58" s="11" t="str">
        <x:v>侦察兵</x:v>
      </x:c>
      <x:c r="C58" s="11" t="str">
        <x:v>磁轨狙击枪</x:v>
      </x:c>
      <x:c r="D58" s="11" t="str">
        <x:v>简单</x:v>
      </x:c>
      <x:c r="E58" s="11" t="str">
        <x:v>首页完成三步选择；进入第一关；开火与Q；暂停；检查锁定</x:v>
      </x:c>
      <x:c r="F58" s="11" t="str">
        <x:v>所选配置与HUD一致，枪械不切换，职业技能正确，难度倍率生效</x:v>
      </x:c>
      <x:c r="G58" s="15" t="str">
        <x:v>未执行</x:v>
      </x:c>
      <x:c r="H58" s="15"/>
    </x:row>
    <x:row r="59" ht="61" customHeight="1">
      <x:c r="A59" s="12" t="str">
        <x:v>MX-053</x:v>
      </x:c>
      <x:c r="B59" s="12" t="str">
        <x:v>侦察兵</x:v>
      </x:c>
      <x:c r="C59" s="12" t="str">
        <x:v>磁轨狙击枪</x:v>
      </x:c>
      <x:c r="D59" s="12" t="str">
        <x:v>中等</x:v>
      </x:c>
      <x:c r="E59" s="12" t="str">
        <x:v>首页完成三步选择；进入第一关；开火与Q；暂停；检查锁定</x:v>
      </x:c>
      <x:c r="F59" s="12" t="str">
        <x:v>所选配置与HUD一致，枪械不切换，职业技能正确，难度倍率生效</x:v>
      </x:c>
      <x:c r="G59" s="15" t="str">
        <x:v>未执行</x:v>
      </x:c>
      <x:c r="H59" s="15"/>
    </x:row>
    <x:row r="60" ht="61" customHeight="1">
      <x:c r="A60" s="11" t="str">
        <x:v>MX-054</x:v>
      </x:c>
      <x:c r="B60" s="11" t="str">
        <x:v>侦察兵</x:v>
      </x:c>
      <x:c r="C60" s="11" t="str">
        <x:v>磁轨狙击枪</x:v>
      </x:c>
      <x:c r="D60" s="11" t="str">
        <x:v>困难</x:v>
      </x:c>
      <x:c r="E60" s="11" t="str">
        <x:v>首页完成三步选择；进入第一关；开火与Q；暂停；检查锁定</x:v>
      </x:c>
      <x:c r="F60" s="11" t="str">
        <x:v>所选配置与HUD一致，枪械不切换，职业技能正确，难度倍率生效</x:v>
      </x:c>
      <x:c r="G60" s="15" t="str">
        <x:v>未执行</x:v>
      </x:c>
      <x:c r="H60" s="15"/>
    </x:row>
    <x:row r="61" ht="61" customHeight="1">
      <x:c r="A61" s="12" t="str">
        <x:v>MX-055</x:v>
      </x:c>
      <x:c r="B61" s="12" t="str">
        <x:v>侦察兵</x:v>
      </x:c>
      <x:c r="C61" s="12" t="str">
        <x:v>重型机枪</x:v>
      </x:c>
      <x:c r="D61" s="12" t="str">
        <x:v>简单</x:v>
      </x:c>
      <x:c r="E61" s="12" t="str">
        <x:v>首页完成三步选择；进入第一关；开火与Q；暂停；检查锁定</x:v>
      </x:c>
      <x:c r="F61" s="12" t="str">
        <x:v>所选配置与HUD一致，枪械不切换，职业技能正确，难度倍率生效</x:v>
      </x:c>
      <x:c r="G61" s="15" t="str">
        <x:v>未执行</x:v>
      </x:c>
      <x:c r="H61" s="15"/>
    </x:row>
    <x:row r="62" ht="61" customHeight="1">
      <x:c r="A62" s="11" t="str">
        <x:v>MX-056</x:v>
      </x:c>
      <x:c r="B62" s="11" t="str">
        <x:v>侦察兵</x:v>
      </x:c>
      <x:c r="C62" s="11" t="str">
        <x:v>重型机枪</x:v>
      </x:c>
      <x:c r="D62" s="11" t="str">
        <x:v>中等</x:v>
      </x:c>
      <x:c r="E62" s="11" t="str">
        <x:v>首页完成三步选择；进入第一关；开火与Q；暂停；检查锁定</x:v>
      </x:c>
      <x:c r="F62" s="11" t="str">
        <x:v>所选配置与HUD一致，枪械不切换，职业技能正确，难度倍率生效</x:v>
      </x:c>
      <x:c r="G62" s="15" t="str">
        <x:v>未执行</x:v>
      </x:c>
      <x:c r="H62" s="15"/>
    </x:row>
    <x:row r="63" ht="61" customHeight="1">
      <x:c r="A63" s="12" t="str">
        <x:v>MX-057</x:v>
      </x:c>
      <x:c r="B63" s="12" t="str">
        <x:v>侦察兵</x:v>
      </x:c>
      <x:c r="C63" s="12" t="str">
        <x:v>重型机枪</x:v>
      </x:c>
      <x:c r="D63" s="12" t="str">
        <x:v>困难</x:v>
      </x:c>
      <x:c r="E63" s="12" t="str">
        <x:v>首页完成三步选择；进入第一关；开火与Q；暂停；检查锁定</x:v>
      </x:c>
      <x:c r="F63" s="12" t="str">
        <x:v>所选配置与HUD一致，枪械不切换，职业技能正确，难度倍率生效</x:v>
      </x:c>
      <x:c r="G63" s="15" t="str">
        <x:v>未执行</x:v>
      </x:c>
      <x:c r="H63" s="15"/>
    </x:row>
    <x:row r="64" ht="61" customHeight="1">
      <x:c r="A64" s="11" t="str">
        <x:v>MX-058</x:v>
      </x:c>
      <x:c r="B64" s="11" t="str">
        <x:v>侦察兵</x:v>
      </x:c>
      <x:c r="C64" s="11" t="str">
        <x:v>蜂群冲锋枪</x:v>
      </x:c>
      <x:c r="D64" s="11" t="str">
        <x:v>简单</x:v>
      </x:c>
      <x:c r="E64" s="11" t="str">
        <x:v>首页完成三步选择；进入第一关；开火与Q；暂停；检查锁定</x:v>
      </x:c>
      <x:c r="F64" s="11" t="str">
        <x:v>所选配置与HUD一致，枪械不切换，职业技能正确，难度倍率生效</x:v>
      </x:c>
      <x:c r="G64" s="15" t="str">
        <x:v>未执行</x:v>
      </x:c>
      <x:c r="H64" s="15"/>
    </x:row>
    <x:row r="65" ht="61" customHeight="1">
      <x:c r="A65" s="12" t="str">
        <x:v>MX-059</x:v>
      </x:c>
      <x:c r="B65" s="12" t="str">
        <x:v>侦察兵</x:v>
      </x:c>
      <x:c r="C65" s="12" t="str">
        <x:v>蜂群冲锋枪</x:v>
      </x:c>
      <x:c r="D65" s="12" t="str">
        <x:v>中等</x:v>
      </x:c>
      <x:c r="E65" s="12" t="str">
        <x:v>首页完成三步选择；进入第一关；开火与Q；暂停；检查锁定</x:v>
      </x:c>
      <x:c r="F65" s="12" t="str">
        <x:v>所选配置与HUD一致，枪械不切换，职业技能正确，难度倍率生效</x:v>
      </x:c>
      <x:c r="G65" s="15" t="str">
        <x:v>未执行</x:v>
      </x:c>
      <x:c r="H65" s="15"/>
    </x:row>
    <x:row r="66" ht="61" customHeight="1">
      <x:c r="A66" s="11" t="str">
        <x:v>MX-060</x:v>
      </x:c>
      <x:c r="B66" s="11" t="str">
        <x:v>侦察兵</x:v>
      </x:c>
      <x:c r="C66" s="11" t="str">
        <x:v>蜂群冲锋枪</x:v>
      </x:c>
      <x:c r="D66" s="11" t="str">
        <x:v>困难</x:v>
      </x:c>
      <x:c r="E66" s="11" t="str">
        <x:v>首页完成三步选择；进入第一关；开火与Q；暂停；检查锁定</x:v>
      </x:c>
      <x:c r="F66" s="11" t="str">
        <x:v>所选配置与HUD一致，枪械不切换，职业技能正确，难度倍率生效</x:v>
      </x:c>
      <x:c r="G66" s="15" t="str">
        <x:v>未执行</x:v>
      </x:c>
      <x:c r="H66" s="15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</x:row>
  </x:sheetData>
  <x:dataValidations count="1">
    <x:dataValidation type="list" sqref="G7:G66">
      <x:formula1>"未执行,通过,失败,阻塞"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.880000114440918" hidden="0" customWidth="1"/>
    <x:col min="2" max="2" width="18.1299991607666" hidden="0" customWidth="1"/>
    <x:col min="3" max="3" width="36.25" hidden="0" customWidth="1"/>
    <x:col min="4" max="4" width="37.5" hidden="0" customWidth="1"/>
    <x:col min="5" max="5" width="36.880001068115234" hidden="0" customWidth="1"/>
    <x:col min="6" max="6" width="21.2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体验研究、风险和待定决策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样本和阈值是待批准的测试方案，不是已有用户研究数据。阻塞项由实际团队填写责任人和结论。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2" customHeight="1">
      <x:c r="A6" s="9" t="str">
        <x:v>编号</x:v>
      </x:c>
      <x:c r="B6" s="9" t="str">
        <x:v>问题</x:v>
      </x:c>
      <x:c r="C6" s="9" t="str">
        <x:v>验证或决策方法</x:v>
      </x:c>
      <x:c r="D6" s="9" t="str">
        <x:v>需要记录的事实</x:v>
      </x:c>
      <x:c r="E6" s="9" t="str">
        <x:v>通过或应对方式</x:v>
      </x:c>
      <x:c r="F6" s="9" t="str">
        <x:v>当前结论</x:v>
      </x:c>
    </x:row>
    <x:row r="7" ht="78" customHeight="1">
      <x:c r="A7" s="12" t="str">
        <x:v>UX-01</x:v>
      </x:c>
      <x:c r="B7" s="12" t="str">
        <x:v>首次任务理解</x:v>
      </x:c>
      <x:c r="C7" s="12" t="str">
        <x:v>建议邀请 6 名未玩过本作的人，分别记录有/无动作游戏经验。</x:v>
      </x:c>
      <x:c r="D7" s="12" t="str">
        <x:v>独立完成出击、首次技能使用、找到出口时间、求助次数与误解原话。</x:v>
      </x:c>
      <x:c r="E7" s="12" t="str">
        <x:v>建议至少5/6在无口头提示下说清任务并进入第一关补给；小样本只定位问题不推算市场。</x:v>
      </x:c>
      <x:c r="F7" s="12" t="str">
        <x:v>方案待评审</x:v>
      </x:c>
    </x:row>
    <x:row r="8" ht="78" customHeight="1">
      <x:c r="A8" s="11" t="str">
        <x:v>UX-02</x:v>
      </x:c>
      <x:c r="B8" s="11" t="str">
        <x:v>机关理解</x:v>
      </x:c>
      <x:c r="C8" s="11" t="str">
        <x:v>第一次进入配电迷阵前不讲解答案。</x:v>
      </x:c>
      <x:c r="D8" s="11" t="str">
        <x:v>是否看见顺序、把道具误认为机关、错误后是否理解重置。</x:v>
      </x:c>
      <x:c r="E8" s="11" t="str">
        <x:v>出现共同误解先改提示和反馈，再用新被试复测；不要让熟练玩家记忆污染首见结果。</x:v>
      </x:c>
      <x:c r="F8" s="11" t="str">
        <x:v>未开展</x:v>
      </x:c>
    </x:row>
    <x:row r="9" ht="78" customHeight="1">
      <x:c r="A9" s="12" t="str">
        <x:v>UX-03</x:v>
      </x:c>
      <x:c r="B9" s="12" t="str">
        <x:v>战斗与职业</x:v>
      </x:c>
      <x:c r="C9" s="12" t="str">
        <x:v>同一人体验四职业，随机轮换顺序，固定枪械和难度。</x:v>
      </x:c>
      <x:c r="D9" s="12" t="str">
        <x:v>受伤次数、技能有效次数、Boss耗时、偏好理由和晕动反馈。</x:v>
      </x:c>
      <x:c r="E9" s="12" t="str">
        <x:v>不能只以最快击杀判定优劣，核对生存收益、学习成本和操作负担。</x:v>
      </x:c>
      <x:c r="F9" s="12" t="str">
        <x:v>未开展</x:v>
      </x:c>
    </x:row>
    <x:row r="10" ht="78" customHeight="1">
      <x:c r="A10" s="11" t="str">
        <x:v>UX-04</x:v>
      </x:c>
      <x:c r="B10" s="11" t="str">
        <x:v>关卡节奏</x:v>
      </x:c>
      <x:c r="C10" s="11" t="str">
        <x:v>记录八关完成时长、重复失败点、看任务的时刻。</x:v>
      </x:c>
      <x:c r="D10" s="11" t="str">
        <x:v>每关的进入、首次受伤、失败、完成和退出原因。</x:v>
      </x:c>
      <x:c r="E10" s="11" t="str">
        <x:v>目标时长先试测再定，不把策划猜测写成已验证时长。</x:v>
      </x:c>
      <x:c r="F10" s="11" t="str">
        <x:v>未开展</x:v>
      </x:c>
    </x:row>
    <x:row r="11" ht="78" customHeight="1">
      <x:c r="A11" s="12" t="str">
        <x:v>R01</x:v>
      </x:c>
      <x:c r="B11" s="12" t="str">
        <x:v>既有原型误当成品</x:v>
      </x:c>
      <x:c r="C11" s="12" t="str">
        <x:v>八关虽然可跑，但完整人工矩阵、表现和设备覆盖不足。</x:v>
      </x:c>
      <x:c r="D11" s="12" t="str">
        <x:v>运行断言版本、候选包版本、真实测试差异。</x:v>
      </x:c>
      <x:c r="E11" s="12" t="str">
        <x:v>M1先做第一关完整样板，M3再冻结全战役。</x:v>
      </x:c>
      <x:c r="F11" s="12" t="str">
        <x:v>明确的制作风险</x:v>
      </x:c>
    </x:row>
    <x:row r="12" ht="78" customHeight="1">
      <x:c r="A12" s="11" t="str">
        <x:v>R02</x:v>
      </x:c>
      <x:c r="B12" s="11" t="str">
        <x:v>技能持续覆盖</x:v>
      </x:c>
      <x:c r="C12" s="11" t="str">
        <x:v>侦察冷却与持续均6秒，对旧目标可连续覆盖。</x:v>
      </x:c>
      <x:c r="D12" s="11" t="str">
        <x:v>标记命中、清场速度、Boss收益、空放与新敌人补标次数。</x:v>
      </x:c>
      <x:c r="E12" s="11" t="str">
        <x:v>先保持用户要求的6秒基线；若需改动要带对照数据并重新确认。</x:v>
      </x:c>
      <x:c r="F12" s="11" t="str">
        <x:v>待实测，不擅自改值</x:v>
      </x:c>
    </x:row>
    <x:row r="13" ht="78" customHeight="1">
      <x:c r="A13" s="12" t="str">
        <x:v>R03</x:v>
      </x:c>
      <x:c r="B13" s="12" t="str">
        <x:v>编辑范围误解</x:v>
      </x:c>
      <x:c r="C13" s="12" t="str">
        <x:v>布局和常用数值可编辑，但技能类型、战斗状态和部分HUD仍为代码。</x:v>
      </x:c>
      <x:c r="D13" s="12" t="str">
        <x:v>非程序人员操作录像、修改清单和失败点。</x:v>
      </x:c>
      <x:c r="E13" s="12" t="str">
        <x:v>把适用字段和必须程序支持的内容分别签收。</x:v>
      </x:c>
      <x:c r="F13" s="12" t="str">
        <x:v>已明确边界</x:v>
      </x:c>
    </x:row>
    <x:row r="14" ht="78" customHeight="1">
      <x:c r="A14" s="11" t="str">
        <x:v>R04</x:v>
      </x:c>
      <x:c r="B14" s="11" t="str">
        <x:v>低帧与时序</x:v>
      </x:c>
      <x:c r="C14" s="11" t="str">
        <x:v>dt上限可能使游戏clock与真实时间不同。</x:v>
      </x:c>
      <x:c r="D14" s="11" t="str">
        <x:v>15/30/60帧下相同输入、冷却和Boss节奏的真实耗时。</x:v>
      </x:c>
      <x:c r="E14" s="11" t="str">
        <x:v>程序评审计时方案，再更新测试基准；不能只看目标帧率配置。</x:v>
      </x:c>
      <x:c r="F14" s="11" t="str">
        <x:v>风险待验证</x:v>
      </x:c>
    </x:row>
    <x:row r="15" ht="78" customHeight="1">
      <x:c r="A15" s="12" t="str">
        <x:v>R05</x:v>
      </x:c>
      <x:c r="B15" s="12" t="str">
        <x:v>网页容量与发布</x:v>
      </x:c>
      <x:c r="C15" s="12" t="str">
        <x:v>历史版本和第三方下载包累积曾触发整站包256MiB限制。</x:v>
      </x:c>
      <x:c r="D15" s="12" t="str">
        <x:v>静态输出大小、单文件大小、归档校验与当前托管配置。</x:v>
      </x:c>
      <x:c r="E15" s="12" t="str">
        <x:v>沿用已验证的发布准备流程，保留历史游戏，第三方大包走已校验官方直链。</x:v>
      </x:c>
      <x:c r="F15" s="12" t="str">
        <x:v>已有处理，持续检查</x:v>
      </x:c>
    </x:row>
    <x:row r="16" ht="78" customHeight="1">
      <x:c r="A16" s="11" t="str">
        <x:v>R06</x:v>
      </x:c>
      <x:c r="B16" s="11" t="str">
        <x:v>状态重复触发</x:v>
      </x:c>
      <x:c r="C16" s="11" t="str">
        <x:v>快速点击、失焦、死亡与最终目标同帧可能造成重复流程。</x:v>
      </x:c>
      <x:c r="D16" s="11" t="str">
        <x:v>构建号、状态前后、点击次数与稳定复现步骤。</x:v>
      </x:c>
      <x:c r="E16" s="11" t="str">
        <x:v>前置判断和只执行一次的结算处理，加入TC-17/34/35。</x:v>
      </x:c>
      <x:c r="F16" s="11" t="str">
        <x:v>关键回归项</x:v>
      </x:c>
    </x:row>
    <x:row r="17" ht="78" customHeight="1">
      <x:c r="A17" s="12" t="str">
        <x:v>R07</x:v>
      </x:c>
      <x:c r="B17" s="12" t="str">
        <x:v>像素风表现成本</x:v>
      </x:c>
      <x:c r="C17" s="12" t="str">
        <x:v>角色已有基础分件动作，不等于完整高质量动作序列。</x:v>
      </x:c>
      <x:c r="D17" s="12" t="str">
        <x:v>M1资源耗时、返工次数、目标分辨率实机表现。</x:v>
      </x:c>
      <x:c r="E17" s="12" t="str">
        <x:v>先冻结一个角色和一把枪的样板标准，再推广。</x:v>
      </x:c>
      <x:c r="F17" s="12" t="str">
        <x:v>待样板评审</x:v>
      </x:c>
    </x:row>
    <x:row r="18" ht="78" customHeight="1">
      <x:c r="A18" s="11" t="str">
        <x:v>R08</x:v>
      </x:c>
      <x:c r="B18" s="11" t="str">
        <x:v>范围失控</x:v>
      </x:c>
      <x:c r="C18" s="11" t="str">
        <x:v>加职业、联网或装备系统会连带改变UI、数值、资源与测试。</x:v>
      </x:c>
      <x:c r="D18" s="11" t="str">
        <x:v>每项变更的需求、依赖、工时和砍掉的工作。</x:v>
      </x:c>
      <x:c r="E18" s="11" t="str">
        <x:v>M0冻结后新增需求要替换范围或重估里程碑。</x:v>
      </x:c>
      <x:c r="F18" s="11" t="str">
        <x:v>执行约定待确认</x:v>
      </x:c>
    </x:row>
    <x:row r="19" ht="78" customHeight="1">
      <x:c r="A19" s="12" t="str">
        <x:v>D01</x:v>
      </x:c>
      <x:c r="B19" s="12" t="str">
        <x:v>版本目标</x:v>
      </x:c>
      <x:c r="C19" s="12" t="str">
        <x:v>确认本期是稳定试玩打磨，而非商业完整版。</x:v>
      </x:c>
      <x:c r="D19" s="12" t="str">
        <x:v>拍板人、决定日期、批准范围与非目标。</x:v>
      </x:c>
      <x:c r="E19" s="12" t="str">
        <x:v>M0前解决，否则任务排期不生效。</x:v>
      </x:c>
      <x:c r="F19" s="12" t="str">
        <x:v>待确认</x:v>
      </x:c>
    </x:row>
    <x:row r="20" ht="78" customHeight="1">
      <x:c r="A20" s="11" t="str">
        <x:v>D02</x:v>
      </x:c>
      <x:c r="B20" s="11" t="str">
        <x:v>实际人力与档期</x:v>
      </x:c>
      <x:c r="C20" s="11" t="str">
        <x:v>按岗位填写每周可用人日、兼岗、休假和外包。</x:v>
      </x:c>
      <x:c r="D20" s="11" t="str">
        <x:v>真实可用产能与人日费率。</x:v>
      </x:c>
      <x:c r="E20" s="11" t="str">
        <x:v>WBS可试算岗位负荷，制作人再排日历。</x:v>
      </x:c>
      <x:c r="F20" s="11" t="str">
        <x:v>待提供</x:v>
      </x:c>
    </x:row>
    <x:row r="21" ht="78" customHeight="1">
      <x:c r="A21" s="12" t="str">
        <x:v>D03</x:v>
      </x:c>
      <x:c r="B21" s="12" t="str">
        <x:v>目标设备与指标</x:v>
      </x:c>
      <x:c r="C21" s="12" t="str">
        <x:v>建议PC 1080p/60fps、WebGL 1080p/30fps作为讨论起点。</x:v>
      </x:c>
      <x:c r="D21" s="12" t="str">
        <x:v>测试机CPU/GPU/内存、系统、浏览器版本与网络条件。</x:v>
      </x:c>
      <x:c r="E21" s="12" t="str">
        <x:v>目标配置及帧时间/加载上限经确认后才进入验收。</x:v>
      </x:c>
      <x:c r="F21" s="12" t="str">
        <x:v>提案，未确认</x:v>
      </x:c>
    </x:row>
    <x:row r="22" ht="78" customHeight="1">
      <x:c r="A22" s="11" t="str">
        <x:v>D04</x:v>
      </x:c>
      <x:c r="B22" s="11" t="str">
        <x:v>碰撞与弹药规则</x:v>
      </x:c>
      <x:c r="C22" s="11" t="str">
        <x:v>确认本期保持无限弹药、无换弹、子弹不阻挡平台的现状。</x:v>
      </x:c>
      <x:c r="D22" s="11" t="str">
        <x:v>取舍理由及对关卡、枪械和手感的影响。</x:v>
      </x:c>
      <x:c r="E22" s="11" t="str">
        <x:v>若改变，补资源、程序、关卡与测试任务，不偷偷修改。</x:v>
      </x:c>
      <x:c r="F22" s="11" t="str">
        <x:v>待规则冻结</x:v>
      </x:c>
    </x:row>
    <x:row r="23" ht="78" customHeight="1">
      <x:c r="A23" s="12" t="str">
        <x:v>D05</x:v>
      </x:c>
      <x:c r="B23" s="12" t="str">
        <x:v>设置功能范围</x:v>
      </x:c>
      <x:c r="C23" s="12" t="str">
        <x:v>确认震动、字号、音量三类基础设置；改键与手柄是否延期。</x:v>
      </x:c>
      <x:c r="D23" s="12" t="str">
        <x:v>可选项、默认值、保存方式与UI资源量。</x:v>
      </x:c>
      <x:c r="E23" s="12" t="str">
        <x:v>根据M1时间资源砍范围，保留阅读与声音可调。</x:v>
      </x:c>
      <x:c r="F23" s="12" t="str">
        <x:v>方案待确认</x:v>
      </x:c>
    </x:row>
    <x:row r="24" ht="78" customHeight="1">
      <x:c r="A24" s="11" t="str">
        <x:v>D06</x:v>
      </x:c>
      <x:c r="B24" s="11" t="str">
        <x:v>战局保存范围</x:v>
      </x:c>
      <x:c r="C24" s="11" t="str">
        <x:v>确认维持最高分记录，还是新增关间续玩。</x:v>
      </x:c>
      <x:c r="D24" s="11" t="str">
        <x:v>浏览器版本切换与升级后的存档兼容需求。</x:v>
      </x:c>
      <x:c r="E24" s="11" t="str">
        <x:v>续玩若入期，必须新增存档格式、版本迁移与异常测试。</x:v>
      </x:c>
      <x:c r="F24" s="11" t="str">
        <x:v>待确认，当前无续玩</x:v>
      </x:c>
    </x:row>
    <x:row r="25" ht="78" customHeight="1">
      <x:c r="A25" s="12" t="str">
        <x:v>D07</x:v>
      </x:c>
      <x:c r="B25" s="12" t="str">
        <x:v>试玩与数据记录</x:v>
      </x:c>
      <x:c r="C25" s="12" t="str">
        <x:v>确认招募方式、知情同意、录屏范围与数据保留期限。</x:v>
      </x:c>
      <x:c r="D25" s="12" t="str">
        <x:v>只收必要操作与设备记录，不默认采集个人身份。</x:v>
      </x:c>
      <x:c r="E25" s="12" t="str">
        <x:v>未确认不接分析SDK或自动上传遥测。</x:v>
      </x:c>
      <x:c r="F25" s="12" t="str">
        <x:v>待确认</x:v>
      </x:c>
    </x:row>
    <x:row r="26" ht="78" customHeight="1">
      <x:c r="A26" s="11" t="str">
        <x:v>D08</x:v>
      </x:c>
      <x:c r="B26" s="11" t="str">
        <x:v>下一版本与发布日期</x:v>
      </x:c>
      <x:c r="C26" s="11" t="str">
        <x:v>待M0范围、M1质量和实际产能确定后决策。</x:v>
      </x:c>
      <x:c r="D26" s="11" t="str">
        <x:v>候选版本、资源承诺、质量门禁与回退方案。</x:v>
      </x:c>
      <x:c r="E26" s="11" t="str">
        <x:v>文档不虚构上线日期或预算。</x:v>
      </x:c>
      <x:c r="F26" s="11" t="str">
        <x:v>未冻结</x:v>
      </x:c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257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.25" hidden="0" customWidth="1"/>
    <x:col min="2" max="2" width="16.25" hidden="0" customWidth="1"/>
    <x:col min="3" max="3" width="36.25" hidden="0" customWidth="1"/>
    <x:col min="4" max="4" width="38.130001068115234" hidden="0" customWidth="1"/>
    <x:col min="5" max="5" width="37.5" hidden="0" customWidth="1"/>
    <x:col min="6" max="6" width="18.1299991607666" hidden="0" customWidth="1"/>
    <x:col min="7" max="7" width="16.25" hidden="0" customWidth="1"/>
    <x:col min="8" max="8" width="16.25" hidden="0" customWidth="1"/>
    <x:col min="9" max="9" width="37.5" hidden="0" customWidth="1"/>
    <x:col min="10" max="10" width="16.25" hidden="0" customWidth="1"/>
    <x:col min="11" max="11" width="28.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构建、发布门禁与回滚步骤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5" t="str">
        <x:v>上线操作必须落到具体构建和真实负责人。以下是建议发布清单，不代表本轮已经重新构建或发布游戏。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9" t="str">
        <x:v>编号</x:v>
      </x:c>
      <x:c r="B6" s="9" t="str">
        <x:v>环节</x:v>
      </x:c>
      <x:c r="C6" s="9" t="str">
        <x:v>执行内容</x:v>
      </x:c>
      <x:c r="D6" s="9" t="str">
        <x:v>验收或交付证据</x:v>
      </x:c>
      <x:c r="E6" s="9" t="str">
        <x:v>失败处置</x:v>
      </x:c>
      <x:c r="F6" s="9" t="str">
        <x:v>状态</x:v>
      </x:c>
      <x:c r="G6" s="2"/>
      <x:c r="H6" s="2"/>
      <x:c r="I6" s="2"/>
      <x:c r="J6" s="2"/>
      <x:c r="K6" s="2"/>
    </x:row>
    <x:row r="7" ht="74" customHeight="1">
      <x:c r="A7" s="12" t="str">
        <x:v>REL-01</x:v>
      </x:c>
      <x:c r="B7" s="12" t="str">
        <x:v>源码与资产</x:v>
      </x:c>
      <x:c r="C7" s="12" t="str">
        <x:v>固定提交号，工作区无未提交功能改动，拉取meta与配置。</x:v>
      </x:c>
      <x:c r="D7" s="12" t="str">
        <x:v>Unity版本、Packages、Campaign、Balance、八个Prefab、字体与许可齐全。</x:v>
      </x:c>
      <x:c r="E7" s="12" t="str">
        <x:v>构建前失败，先修资源或依赖，不用旧包冒充新构建。</x:v>
      </x:c>
      <x:c r="F7" s="12" t="str">
        <x:v>待执行</x:v>
      </x:c>
      <x:c r="G7" s="2"/>
      <x:c r="H7" s="2"/>
      <x:c r="I7" s="2"/>
      <x:c r="J7" s="2"/>
      <x:c r="K7" s="2"/>
    </x:row>
    <x:row r="8" ht="74" customHeight="1">
      <x:c r="A8" s="11" t="str">
        <x:v>REL-02</x:v>
      </x:c>
      <x:c r="B8" s="11" t="str">
        <x:v>双端构建</x:v>
      </x:c>
      <x:c r="C8" s="11" t="str">
        <x:v>Windows和WebGL由同一提交构建，记录构建参数与日志。</x:v>
      </x:c>
      <x:c r="D8" s="11" t="str">
        <x:v>输出包、构建日志、资源清单、sha256及候选版本号。</x:v>
      </x:c>
      <x:c r="E8" s="11" t="str">
        <x:v>单端失败不宣称双端完成；保留成功包但不混用来源。</x:v>
      </x:c>
      <x:c r="F8" s="11" t="str">
        <x:v>待执行</x:v>
      </x:c>
      <x:c r="G8" s="2"/>
      <x:c r="H8" s="2"/>
      <x:c r="I8" s="2"/>
      <x:c r="J8" s="2"/>
      <x:c r="K8" s="2"/>
    </x:row>
    <x:row r="9" ht="74" customHeight="1">
      <x:c r="A9" s="12" t="str">
        <x:v>REL-03</x:v>
      </x:c>
      <x:c r="B9" s="12" t="str">
        <x:v>候选验收</x:v>
      </x:c>
      <x:c r="C9" s="12" t="str">
        <x:v>QA-01统一协议：记录构建和设备，先跑功能断言，再执行关键TC与配置入口矩阵。</x:v>
      </x:c>
      <x:c r="D9" s="12" t="str">
        <x:v>P0无未解决项，P1有批准的处理或延期结论；人工结果未执行不能自动视为通过。</x:v>
      </x:c>
      <x:c r="E9" s="12" t="str">
        <x:v>阻断则回制作，延期缺陷进入公开已知问题。</x:v>
      </x:c>
      <x:c r="F9" s="12" t="str">
        <x:v>待执行</x:v>
      </x:c>
      <x:c r="G9" s="2"/>
      <x:c r="H9" s="2"/>
      <x:c r="I9" s="2"/>
      <x:c r="J9" s="2"/>
      <x:c r="K9" s="2"/>
    </x:row>
    <x:row r="10" ht="74" customHeight="1">
      <x:c r="A10" s="11" t="str">
        <x:v>REL-04</x:v>
      </x:c>
      <x:c r="B10" s="11" t="str">
        <x:v>容量与版本归档</x:v>
      </x:c>
      <x:c r="C10" s="11" t="str">
        <x:v>运行静态发布准备，校验全部历史版本；每次功能更新新建目录。</x:v>
      </x:c>
      <x:c r="D10" s="11" t="str">
        <x:v>整站归档小于256MiB，静态单文件低于25MiB；旧版本checksums不变。</x:v>
      </x:c>
      <x:c r="E10" s="11" t="str">
        <x:v>保留旧试玩；优化资源交付而非覆盖历史；容量异常停止发布。</x:v>
      </x:c>
      <x:c r="F10" s="11" t="str">
        <x:v>按当前托管限制复核</x:v>
      </x:c>
      <x:c r="G10" s="2"/>
      <x:c r="H10" s="2"/>
      <x:c r="I10" s="2"/>
      <x:c r="J10" s="2"/>
      <x:c r="K10" s="2"/>
    </x:row>
    <x:row r="11" ht="74" customHeight="1">
      <x:c r="A11" s="12" t="str">
        <x:v>REL-05</x:v>
      </x:c>
      <x:c r="B11" s="12" t="str">
        <x:v>正式发布</x:v>
      </x:c>
      <x:c r="C11" s="12" t="str">
        <x:v>先保存精确源码版本，再部署该保存版本，确认终态。</x:v>
      </x:c>
      <x:c r="D11" s="12" t="str">
        <x:v>部署成功ID、版本、URL、线上启动截图与首关冒烟结果。</x:v>
      </x:c>
      <x:c r="E11" s="12" t="str">
        <x:v>pending不算成功；失败时记录原因，必要时回部署稳定保存版本。</x:v>
      </x:c>
      <x:c r="F11" s="12" t="str">
        <x:v>待执行</x:v>
      </x:c>
      <x:c r="G11" s="2"/>
      <x:c r="H11" s="2"/>
      <x:c r="I11" s="2"/>
      <x:c r="J11" s="2"/>
      <x:c r="K11" s="2"/>
    </x:row>
    <x:row r="12" ht="74" customHeight="1">
      <x:c r="A12" s="11" t="str">
        <x:v>REL-06</x:v>
      </x:c>
      <x:c r="B12" s="11" t="str">
        <x:v>上线确认</x:v>
      </x:c>
      <x:c r="C12" s="11" t="str">
        <x:v>检查中文版文案、各版本入口、最高分行为与下载链接。</x:v>
      </x:c>
      <x:c r="D12" s="11" t="str">
        <x:v>真实负责人确认；更新说明只列本版本实际变更。</x:v>
      </x:c>
      <x:c r="E12" s="11" t="str">
        <x:v>入口错误或卡关即回滚；之后再修复并创建新版本。</x:v>
      </x:c>
      <x:c r="F12" s="11" t="str">
        <x:v>待执行</x:v>
      </x:c>
      <x:c r="G12" s="2"/>
      <x:c r="H12" s="2"/>
      <x:c r="I12" s="2"/>
      <x:c r="J12" s="2"/>
      <x:c r="K12" s="2"/>
    </x:row>
    <x:row r="13" ht="74" customHeight="1">
      <x:c r="A13" s="12" t="str">
        <x:v>OPS-01</x:v>
      </x:c>
      <x:c r="B13" s="12" t="str">
        <x:v>问题受理</x:v>
      </x:c>
      <x:c r="C13" s="12" t="str">
        <x:v>用版本、设备、复现步骤、期望/实际、证据收集问题。</x:v>
      </x:c>
      <x:c r="D13" s="12" t="str">
        <x:v>区分崩溃/卡关/数据丢失/视觉/平衡建议；去重但保留出现频次。</x:v>
      </x:c>
      <x:c r="E13" s="12" t="str">
        <x:v>不能稳定复现的记录补充日志和环境，不直接判用户操作失误。</x:v>
      </x:c>
      <x:c r="F13" s="12" t="str">
        <x:v>方案</x:v>
      </x:c>
      <x:c r="G13" s="2"/>
      <x:c r="H13" s="2"/>
      <x:c r="I13" s="2"/>
      <x:c r="J13" s="2"/>
      <x:c r="K13" s="2"/>
    </x:row>
    <x:row r="14" ht="74" customHeight="1">
      <x:c r="A14" s="11" t="str">
        <x:v>OPS-02</x:v>
      </x:c>
      <x:c r="B14" s="11" t="str">
        <x:v>补丁决策</x:v>
      </x:c>
      <x:c r="C14" s="11" t="str">
        <x:v>优先严重缺陷，平衡变更必须有数据与规则变更记录。</x:v>
      </x:c>
      <x:c r="D14" s="11" t="str">
        <x:v>补丁范围、回归需求ID、旧存档影响与回退方案。</x:v>
      </x:c>
      <x:c r="E14" s="11" t="str">
        <x:v>临时方案有移除节点；新内容不挤占阻断修复。</x:v>
      </x:c>
      <x:c r="F14" s="11" t="str">
        <x:v>方案</x:v>
      </x:c>
      <x:c r="G14" s="2"/>
      <x:c r="H14" s="2"/>
      <x:c r="I14" s="2"/>
      <x:c r="J14" s="2"/>
      <x:c r="K14" s="2"/>
    </x:row>
    <x:row r="15" ht="74" customHeight="1">
      <x:c r="A15" s="12" t="str">
        <x:v>OPS-03</x:v>
      </x:c>
      <x:c r="B15" s="12" t="str">
        <x:v>版本复盘</x:v>
      </x:c>
      <x:c r="C15" s="12" t="str">
        <x:v>汇总估算与实际人日、延期、返工和缺陷来源。</x:v>
      </x:c>
      <x:c r="D15" s="12" t="str">
        <x:v>修正后续估算，明确哪些生产流程有效、哪些需要调整。</x:v>
      </x:c>
      <x:c r="E15" s="12" t="str">
        <x:v>复盘不以任务数量代替体验质量，也不编造完成率。</x:v>
      </x:c>
      <x:c r="F15" s="12" t="str">
        <x:v>方案</x:v>
      </x:c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8" customHeight="1">
      <x:c r="A19" s="14" t="str">
        <x:v>设备与性能记录表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 ht="32" customHeight="1">
      <x:c r="A20" s="9" t="str">
        <x:v>场景</x:v>
      </x:c>
      <x:c r="B20" s="9" t="str">
        <x:v>平台与浏览器</x:v>
      </x:c>
      <x:c r="C20" s="9" t="str">
        <x:v>目标分辨率</x:v>
      </x:c>
      <x:c r="D20" s="9" t="str">
        <x:v>建议目标FPS</x:v>
      </x:c>
      <x:c r="E20" s="9" t="str">
        <x:v>帧预算ms</x:v>
      </x:c>
      <x:c r="F20" s="9" t="str">
        <x:v>实测P95帧时</x:v>
      </x:c>
      <x:c r="G20" s="9" t="str">
        <x:v>冷启动秒</x:v>
      </x:c>
      <x:c r="H20" s="9" t="str">
        <x:v>峰值内存MB</x:v>
      </x:c>
      <x:c r="I20" s="9" t="str">
        <x:v>设备配置/网络</x:v>
      </x:c>
      <x:c r="J20" s="9" t="str">
        <x:v>结论</x:v>
      </x:c>
      <x:c r="K20" s="9" t="str">
        <x:v>证据</x:v>
      </x:c>
    </x:row>
    <x:row r="21" ht="53" customHeight="1">
      <x:c r="A21" s="12" t="str">
        <x:v>PERF-01 普通战斗</x:v>
      </x:c>
      <x:c r="B21" s="12" t="str">
        <x:v>Windows</x:v>
      </x:c>
      <x:c r="C21" s="12" t="str">
        <x:v>1920×1080</x:v>
      </x:c>
      <x:c r="D21" s="15" t="n">
        <x:v>60</x:v>
      </x:c>
      <x:c r="E21" s="25" t="n">
        <x:f>1000/D21</x:f>
        <x:v>16.666666666666668</x:v>
      </x:c>
      <x:c r="F21" s="16"/>
      <x:c r="G21" s="16"/>
      <x:c r="H21" s="15"/>
      <x:c r="I21" s="15"/>
      <x:c r="J21" s="15" t="str">
        <x:v>未测试</x:v>
      </x:c>
      <x:c r="K21" s="15"/>
    </x:row>
    <x:row r="22" ht="53" customHeight="1">
      <x:c r="A22" s="11" t="str">
        <x:v>PERF-02 双枪机枪</x:v>
      </x:c>
      <x:c r="B22" s="11" t="str">
        <x:v>Windows</x:v>
      </x:c>
      <x:c r="C22" s="11" t="str">
        <x:v>1920×1080</x:v>
      </x:c>
      <x:c r="D22" s="15" t="n">
        <x:v>60</x:v>
      </x:c>
      <x:c r="E22" s="26" t="n">
        <x:f>1000/D22</x:f>
        <x:v>16.666666666666668</x:v>
      </x:c>
      <x:c r="F22" s="16"/>
      <x:c r="G22" s="16"/>
      <x:c r="H22" s="15"/>
      <x:c r="I22" s="15"/>
      <x:c r="J22" s="15" t="str">
        <x:v>未测试</x:v>
      </x:c>
      <x:c r="K22" s="15"/>
    </x:row>
    <x:row r="23" ht="53" customHeight="1">
      <x:c r="A23" s="12" t="str">
        <x:v>PERF-03 Boss狂暴</x:v>
      </x:c>
      <x:c r="B23" s="12" t="str">
        <x:v>WebGL / Chrome</x:v>
      </x:c>
      <x:c r="C23" s="12" t="str">
        <x:v>1920×1080</x:v>
      </x:c>
      <x:c r="D23" s="15" t="n">
        <x:v>30</x:v>
      </x:c>
      <x:c r="E23" s="25" t="n">
        <x:f>1000/D23</x:f>
        <x:v>33.333333333333336</x:v>
      </x:c>
      <x:c r="F23" s="16"/>
      <x:c r="G23" s="16"/>
      <x:c r="H23" s="15"/>
      <x:c r="I23" s="15"/>
      <x:c r="J23" s="15" t="str">
        <x:v>未测试</x:v>
      </x:c>
      <x:c r="K23" s="15"/>
    </x:row>
    <x:row r="24" ht="53" customHeight="1">
      <x:c r="A24" s="11" t="str">
        <x:v>PERF-04 高塔</x:v>
      </x:c>
      <x:c r="B24" s="11" t="str">
        <x:v>WebGL / Edge</x:v>
      </x:c>
      <x:c r="C24" s="11" t="str">
        <x:v>1920×1080</x:v>
      </x:c>
      <x:c r="D24" s="15" t="n">
        <x:v>30</x:v>
      </x:c>
      <x:c r="E24" s="26" t="n">
        <x:f>1000/D24</x:f>
        <x:v>33.333333333333336</x:v>
      </x:c>
      <x:c r="F24" s="16"/>
      <x:c r="G24" s="16"/>
      <x:c r="H24" s="15"/>
      <x:c r="I24" s="15"/>
      <x:c r="J24" s="15" t="str">
        <x:v>未测试</x:v>
      </x:c>
      <x:c r="K24" s="15"/>
    </x:row>
    <x:row r="25" ht="53" customHeight="1">
      <x:c r="A25" s="12" t="str">
        <x:v>PERF-05 冷启动</x:v>
      </x:c>
      <x:c r="B25" s="12" t="str">
        <x:v>WebGL / Firefox</x:v>
      </x:c>
      <x:c r="C25" s="12" t="str">
        <x:v>1920×1080</x:v>
      </x:c>
      <x:c r="D25" s="15" t="n">
        <x:v>30</x:v>
      </x:c>
      <x:c r="E25" s="25" t="n">
        <x:f>1000/D25</x:f>
        <x:v>33.333333333333336</x:v>
      </x:c>
      <x:c r="F25" s="16"/>
      <x:c r="G25" s="16"/>
      <x:c r="H25" s="15"/>
      <x:c r="I25" s="15"/>
      <x:c r="J25" s="15" t="str">
        <x:v>未测试</x:v>
      </x:c>
      <x:c r="K25" s="15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19" t="str">
        <x:v>D03未批准前，FPS仅是讨论目标。每个战斗场景采集至少60秒，记录P95帧时间与掉帧尖峰；冷启动需清缓存并记录网络。填写CPU/GPU/内存、系统、浏览器版本和构建号后结果才有比较意义。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 ht="24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8" customHeight="1">
      <x:c r="A31" s="14" t="str">
        <x:v>缺陷分级与修复放行</x:v>
      </x:c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 ht="32" customHeight="1">
      <x:c r="A32" s="9" t="str">
        <x:v>级别</x:v>
      </x:c>
      <x:c r="B32" s="9" t="str">
        <x:v>定义</x:v>
      </x:c>
      <x:c r="C32" s="9"/>
      <x:c r="D32" s="9" t="str">
        <x:v>动作</x:v>
      </x:c>
      <x:c r="E32" s="9"/>
      <x:c r="F32" s="9" t="str">
        <x:v>关闭条件</x:v>
      </x:c>
      <x:c r="G32" s="9"/>
      <x:c r="H32" s="9"/>
      <x:c r="I32" s="9"/>
      <x:c r="J32" s="9"/>
      <x:c r="K32" s="9"/>
    </x:row>
    <x:row r="33" ht="74" customHeight="1">
      <x:c r="A33" s="12" t="str">
        <x:v>P0</x:v>
      </x:c>
      <x:c r="B33" s="12" t="str">
        <x:v>崩溃、无法进入游戏、无法通关、错误结算或严重数据破坏。</x:v>
      </x:c>
      <x:c r="C33" s="12"/>
      <x:c r="D33" s="12" t="str">
        <x:v>停止发包；线上问题评估回滚；先给稳定复现和影响版本。</x:v>
      </x:c>
      <x:c r="E33" s="12"/>
      <x:c r="F33" s="12" t="str">
        <x:v>修复后原步骤不再复现，关联主流程回归通过，证据与版本齐全。</x:v>
      </x:c>
      <x:c r="G33" s="12"/>
      <x:c r="H33" s="12"/>
      <x:c r="I33" s="12"/>
      <x:c r="J33" s="12"/>
      <x:c r="K33" s="12"/>
    </x:row>
    <x:row r="34" ht="74" customHeight="1">
      <x:c r="A34" s="11" t="str">
        <x:v>P1</x:v>
      </x:c>
      <x:c r="B34" s="11" t="str">
        <x:v>重要功能失效、任务明显误导、严重掉帧或影响多数玩家的操作问题。</x:v>
      </x:c>
      <x:c r="C34" s="11"/>
      <x:c r="D34" s="11" t="str">
        <x:v>当前版本优先修；若延期需产品和QA明确接受影响范围及说明。</x:v>
      </x:c>
      <x:c r="E34" s="11"/>
      <x:c r="F34" s="11" t="str">
        <x:v>指定环境和边界通过，不用开发者本机“看起来正常”直接关闭。</x:v>
      </x:c>
      <x:c r="G34" s="11"/>
      <x:c r="H34" s="11"/>
      <x:c r="I34" s="11"/>
      <x:c r="J34" s="11"/>
      <x:c r="K34" s="11"/>
    </x:row>
    <x:row r="35" ht="74" customHeight="1">
      <x:c r="A35" s="12" t="str">
        <x:v>P2</x:v>
      </x:c>
      <x:c r="B35" s="12" t="str">
        <x:v>不阻断的局部表现、轻微体验改进或扩展建议。</x:v>
      </x:c>
      <x:c r="C35" s="12"/>
      <x:c r="D35" s="12" t="str">
        <x:v>进入候选池，标注复现和体验影响，按版本范围排队。</x:v>
      </x:c>
      <x:c r="E35" s="12"/>
      <x:c r="F35" s="12" t="str">
        <x:v>达到该需求的验收标准；不能以不再关注代替确认。</x:v>
      </x:c>
      <x:c r="G35" s="12"/>
      <x:c r="H35" s="12"/>
      <x:c r="I35" s="12"/>
      <x:c r="J35" s="12"/>
      <x:c r="K35" s="1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</x:sheetData>
  <x:mergeCells>
    <x:mergeCell ref="A27:K28"/>
    <x:mergeCell ref="B32:C32"/>
    <x:mergeCell ref="D32:E32"/>
    <x:mergeCell ref="F32:K32"/>
    <x:mergeCell ref="B33:C33"/>
    <x:mergeCell ref="D33:E33"/>
    <x:mergeCell ref="F33:K33"/>
    <x:mergeCell ref="B34:C34"/>
    <x:mergeCell ref="D34:E34"/>
    <x:mergeCell ref="F34:K34"/>
    <x:mergeCell ref="B35:C35"/>
    <x:mergeCell ref="D35:E35"/>
    <x:mergeCell ref="F35:K3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1299991607666" hidden="0" customWidth="1"/>
    <x:col min="2" max="2" width="12.5" hidden="0" customWidth="1"/>
    <x:col min="3" max="3" width="12.5" hidden="0" customWidth="1"/>
    <x:col min="4" max="4" width="14.380000114440918" hidden="0" customWidth="1"/>
    <x:col min="5" max="5" width="36.25" hidden="0" customWidth="1"/>
    <x:col min="6" max="6" width="38.75" hidden="0" customWidth="1"/>
    <x:col min="7" max="7" width="2.75" hidden="0" customWidth="1"/>
    <x:col min="8" max="8" width="16.879999160766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编辑配置与资料依据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来源快照 1438d96；本表编辑不会自动修改 Unity。来源为现有工程、说明与验证记录。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9" t="str">
        <x:v>参数</x:v>
      </x:c>
      <x:c r="B6" s="9" t="str">
        <x:v>当前值</x:v>
      </x:c>
      <x:c r="C6" s="9" t="str">
        <x:v>单位</x:v>
      </x:c>
      <x:c r="D6" s="9" t="str">
        <x:v>适用范围</x:v>
      </x:c>
      <x:c r="E6" s="9" t="str">
        <x:v>人工编辑入口</x:v>
      </x:c>
      <x:c r="F6" s="9" t="str">
        <x:v>注意事项</x:v>
      </x:c>
      <x:c r="G6" s="9" t="str"/>
      <x:c r="H6" s="9" t="str">
        <x:v>依据</x:v>
      </x:c>
    </x:row>
    <x:row r="7" ht="44" customHeight="1">
      <x:c r="A7" s="12" t="str">
        <x:v>初始生命</x:v>
      </x:c>
      <x:c r="B7" s="22" t="n">
        <x:v>100</x:v>
      </x:c>
      <x:c r="C7" s="12" t="str">
        <x:v>点</x:v>
      </x:c>
      <x:c r="D7" s="12" t="str">
        <x:v>所有职业</x:v>
      </x:c>
      <x:c r="E7" s="12" t="str">
        <x:v>战斗配置 Balance.asset</x:v>
      </x:c>
      <x:c r="F7" s="12" t="str">
        <x:v>医疗回复不能超过当前生命上限。</x:v>
      </x:c>
      <x:c r="G7" s="12" t="str"/>
      <x:c r="H7" s="12" t="str">
        <x:v>S2</x:v>
      </x:c>
    </x:row>
    <x:row r="8" ht="44" customHeight="1">
      <x:c r="A8" s="11" t="str">
        <x:v>跳跃初速度</x:v>
      </x:c>
      <x:c r="B8" s="22" t="n">
        <x:v>10.6</x:v>
      </x:c>
      <x:c r="C8" s="11" t="str">
        <x:v>单位/秒</x:v>
      </x:c>
      <x:c r="D8" s="11" t="str">
        <x:v>通用运动</x:v>
      </x:c>
      <x:c r="E8" s="11" t="str">
        <x:v>Balance.asset</x:v>
      </x:c>
      <x:c r="F8" s="11" t="str">
        <x:v>可二段跳；调参后检查高塔与下行路线。</x:v>
      </x:c>
      <x:c r="G8" s="11" t="str"/>
      <x:c r="H8" s="11" t="str">
        <x:v>S2</x:v>
      </x:c>
    </x:row>
    <x:row r="9" ht="44" customHeight="1">
      <x:c r="A9" s="12" t="str">
        <x:v>重力</x:v>
      </x:c>
      <x:c r="B9" s="22" t="n">
        <x:v>27</x:v>
      </x:c>
      <x:c r="C9" s="12" t="str">
        <x:v>单位/秒²</x:v>
      </x:c>
      <x:c r="D9" s="12" t="str">
        <x:v>通用运动</x:v>
      </x:c>
      <x:c r="E9" s="12" t="str">
        <x:v>Balance.asset</x:v>
      </x:c>
      <x:c r="F9" s="12" t="str">
        <x:v>与跳跃一起验证可达性。</x:v>
      </x:c>
      <x:c r="G9" s="12" t="str"/>
      <x:c r="H9" s="12" t="str">
        <x:v>S2</x:v>
      </x:c>
    </x:row>
    <x:row r="10" ht="44" customHeight="1">
      <x:c r="A10" s="11" t="str">
        <x:v>冲刺速度</x:v>
      </x:c>
      <x:c r="B10" s="22" t="n">
        <x:v>23</x:v>
      </x:c>
      <x:c r="C10" s="11" t="str">
        <x:v>单位/秒</x:v>
      </x:c>
      <x:c r="D10" s="11" t="str">
        <x:v>通用运动</x:v>
      </x:c>
      <x:c r="E10" s="11" t="str">
        <x:v>Balance.asset</x:v>
      </x:c>
      <x:c r="F10" s="11" t="str">
        <x:v>冲刺独立于职业技能。</x:v>
      </x:c>
      <x:c r="G10" s="11" t="str"/>
      <x:c r="H10" s="11" t="str">
        <x:v>S2</x:v>
      </x:c>
    </x:row>
    <x:row r="11" ht="44" customHeight="1">
      <x:c r="A11" s="12" t="str">
        <x:v>冲刺持续</x:v>
      </x:c>
      <x:c r="B11" s="22" t="n">
        <x:v>0.17</x:v>
      </x:c>
      <x:c r="C11" s="12" t="str">
        <x:v>秒</x:v>
      </x:c>
      <x:c r="D11" s="12" t="str">
        <x:v>通用运动</x:v>
      </x:c>
      <x:c r="E11" s="12" t="str">
        <x:v>Balance.asset</x:v>
      </x:c>
      <x:c r="F11" s="12" t="str">
        <x:v>移动距离受地形和更新逻辑影响。</x:v>
      </x:c>
      <x:c r="G11" s="12" t="str"/>
      <x:c r="H11" s="12" t="str">
        <x:v>S2</x:v>
      </x:c>
    </x:row>
    <x:row r="12" ht="44" customHeight="1">
      <x:c r="A12" s="11" t="str">
        <x:v>冲刺冷却</x:v>
      </x:c>
      <x:c r="B12" s="22" t="n">
        <x:v>1.35</x:v>
      </x:c>
      <x:c r="C12" s="11" t="str">
        <x:v>秒</x:v>
      </x:c>
      <x:c r="D12" s="11" t="str">
        <x:v>通用运动</x:v>
      </x:c>
      <x:c r="E12" s="11" t="str">
        <x:v>Balance.asset</x:v>
      </x:c>
      <x:c r="F12" s="11" t="str">
        <x:v>机动冷却升级按当前值乘 80%。</x:v>
      </x:c>
      <x:c r="G12" s="11" t="str"/>
      <x:c r="H12" s="11" t="str">
        <x:v>S2</x:v>
      </x:c>
    </x:row>
    <x:row r="13" ht="44" customHeight="1">
      <x:c r="A13" s="12" t="str">
        <x:v>机枪移速系数</x:v>
      </x:c>
      <x:c r="B13" s="22" t="n">
        <x:v>0.8513513513513513</x:v>
      </x:c>
      <x:c r="C13" s="12" t="str">
        <x:v>倍率</x:v>
      </x:c>
      <x:c r="D13" s="12" t="str">
        <x:v>持机枪时</x:v>
      </x:c>
      <x:c r="E13" s="12" t="str">
        <x:v>Balance.asset</x:v>
      </x:c>
      <x:c r="F13" s="12" t="str">
        <x:v>乘职业本身的移动速度。</x:v>
      </x:c>
      <x:c r="G13" s="12" t="str"/>
      <x:c r="H13" s="12" t="str">
        <x:v>S2</x:v>
      </x:c>
    </x:row>
    <x:row r="14" ht="44" customHeight="1">
      <x:c r="A14" s="11" t="str">
        <x:v>关卡布局</x:v>
      </x:c>
      <x:c r="B14" s="11" t="str">
        <x:v>八个 Prefab</x:v>
      </x:c>
      <x:c r="C14" s="11" t="str">
        <x:v>资源</x:v>
      </x:c>
      <x:c r="D14" s="11" t="str">
        <x:v>全战役</x:v>
      </x:c>
      <x:c r="E14" s="11" t="str">
        <x:v>Unity 菜单：霓虹突围 / 关卡工作台</x:v>
      </x:c>
      <x:c r="F14" s="11" t="str">
        <x:v>在 Scene 拖动平台、出生点、出口、道具与机关。</x:v>
      </x:c>
      <x:c r="G14" s="11" t="str"/>
      <x:c r="H14" s="11" t="str">
        <x:v>S6、S9</x:v>
      </x:c>
    </x:row>
    <x:row r="15" ht="44" customHeight="1">
      <x:c r="A15" s="12" t="str">
        <x:v>战役与外观</x:v>
      </x:c>
      <x:c r="B15" s="12" t="str">
        <x:v>Campaign.asset</x:v>
      </x:c>
      <x:c r="C15" s="12" t="str">
        <x:v>资源</x:v>
      </x:c>
      <x:c r="D15" s="12" t="str">
        <x:v>关卡和美术</x:v>
      </x:c>
      <x:c r="E15" s="12" t="str">
        <x:v>Inspector 配置关卡顺序、背景与图片引用</x:v>
      </x:c>
      <x:c r="F15" s="12" t="str">
        <x:v>根对象保持原点、单位缩放和零旋转。</x:v>
      </x:c>
      <x:c r="G15" s="12" t="str"/>
      <x:c r="H15" s="12" t="str">
        <x:v>S9</x:v>
      </x:c>
    </x:row>
    <x:row r="16" ht="44" customHeight="1">
      <x:c r="A16" s="11" t="str">
        <x:v>行为与技能类型</x:v>
      </x:c>
      <x:c r="B16" s="11" t="str">
        <x:v>脚本逻辑</x:v>
      </x:c>
      <x:c r="C16" s="11" t="str">
        <x:v>代码</x:v>
      </x:c>
      <x:c r="D16" s="11" t="str">
        <x:v>战斗与 HUD</x:v>
      </x:c>
      <x:c r="E16" s="11" t="str">
        <x:v>程序实现；数值与资源由配置引用</x:v>
      </x:c>
      <x:c r="F16" s="11" t="str">
        <x:v>不能把当前可编辑能力描述为整套游戏无需代码。</x:v>
      </x:c>
      <x:c r="G16" s="11" t="str"/>
      <x:c r="H16" s="11" t="str">
        <x:v>S3、S5、S9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8" customHeight="1">
      <x:c r="A19" s="14" t="str">
        <x:v>难度配置</x:v>
      </x:c>
      <x:c r="B19" s="13"/>
      <x:c r="C19" s="13"/>
      <x:c r="D19" s="13"/>
      <x:c r="E19" s="13"/>
      <x:c r="F19" s="13"/>
      <x:c r="G19" s="13"/>
      <x:c r="H19" s="13"/>
    </x:row>
    <x:row r="20" ht="32" customHeight="1">
      <x:c r="A20" s="9" t="str">
        <x:v>难度</x:v>
      </x:c>
      <x:c r="B20" s="9" t="str">
        <x:v>生命倍率</x:v>
      </x:c>
      <x:c r="C20" s="9" t="str">
        <x:v>伤害倍率</x:v>
      </x:c>
      <x:c r="D20" s="9" t="str">
        <x:v>攻击间隔倍率</x:v>
      </x:c>
      <x:c r="E20" s="9" t="str">
        <x:v>说明</x:v>
      </x:c>
      <x:c r="F20" s="9" t="str">
        <x:v>同类范围</x:v>
      </x:c>
      <x:c r="G20" s="2"/>
      <x:c r="H20" s="2"/>
    </x:row>
    <x:row r="21" ht="38" customHeight="1">
      <x:c r="A21" s="12" t="str">
        <x:v>简单</x:v>
      </x:c>
      <x:c r="B21" s="27" t="n">
        <x:v>0.75</x:v>
      </x:c>
      <x:c r="C21" s="27" t="n">
        <x:v>0.7</x:v>
      </x:c>
      <x:c r="D21" s="27" t="n">
        <x:v>1.25</x:v>
      </x:c>
      <x:c r="E21" s="12" t="str">
        <x:v>攻击更慢，敌人更脆</x:v>
      </x:c>
      <x:c r="F21" s="12" t="str">
        <x:v>普通敌人与 Boss</x:v>
      </x:c>
      <x:c r="G21" s="2"/>
      <x:c r="H21" s="2"/>
    </x:row>
    <x:row r="22" ht="38" customHeight="1">
      <x:c r="A22" s="11" t="str">
        <x:v>中等</x:v>
      </x:c>
      <x:c r="B22" s="27" t="n">
        <x:v>1</x:v>
      </x:c>
      <x:c r="C22" s="27" t="n">
        <x:v>1</x:v>
      </x:c>
      <x:c r="D22" s="27" t="n">
        <x:v>1</x:v>
      </x:c>
      <x:c r="E22" s="11" t="str">
        <x:v>默认标准值</x:v>
      </x:c>
      <x:c r="F22" s="11" t="str">
        <x:v>普通敌人与 Boss</x:v>
      </x:c>
      <x:c r="G22" s="2"/>
      <x:c r="H22" s="2"/>
    </x:row>
    <x:row r="23" ht="38" customHeight="1">
      <x:c r="A23" s="12" t="str">
        <x:v>困难</x:v>
      </x:c>
      <x:c r="B23" s="27" t="n">
        <x:v>1.35</x:v>
      </x:c>
      <x:c r="C23" s="27" t="n">
        <x:v>1.35</x:v>
      </x:c>
      <x:c r="D23" s="27" t="n">
        <x:v>0.8</x:v>
      </x:c>
      <x:c r="E23" s="12" t="str">
        <x:v>攻击更快，敌人更坚韧</x:v>
      </x:c>
      <x:c r="F23" s="12" t="str">
        <x:v>普通敌人与 Boss</x:v>
      </x:c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8" customHeight="1">
      <x:c r="A26" s="14" t="str">
        <x:v>来源编号</x:v>
      </x:c>
      <x:c r="B26" s="13"/>
      <x:c r="C26" s="13"/>
      <x:c r="D26" s="13"/>
      <x:c r="E26" s="13"/>
      <x:c r="F26" s="13"/>
      <x:c r="G26" s="13"/>
      <x:c r="H26" s="13"/>
    </x:row>
    <x:row r="27" ht="32" customHeight="1">
      <x:c r="A27" s="9" t="str">
        <x:v>编号</x:v>
      </x:c>
      <x:c r="B27" s="9" t="str">
        <x:v>资料</x:v>
      </x:c>
      <x:c r="C27" s="9" t="str">
        <x:v>版本固定的 GitHub 地址</x:v>
      </x:c>
      <x:c r="D27" s="2"/>
      <x:c r="E27" s="2"/>
      <x:c r="F27" s="2"/>
      <x:c r="G27" s="2"/>
      <x:c r="H27" s="2"/>
    </x:row>
    <x:row r="28" ht="38" customHeight="1">
      <x:c r="A28" s="12" t="str">
        <x:v>S1</x:v>
      </x:c>
      <x:c r="B28" s="12" t="str">
        <x:v>现有玩法说明</x:v>
      </x:c>
      <x:c r="C28" s="28" t="str">
        <x:v>https://github.com/GoetheH/DoubleRobot/blob/1438d963fa8479d4e63a0555352092d4e74108a1/README.md</x:v>
      </x:c>
      <x:c r="D28" s="29"/>
      <x:c r="E28" s="29"/>
      <x:c r="F28" s="29"/>
      <x:c r="G28" s="2"/>
      <x:c r="H28" s="2"/>
    </x:row>
    <x:row r="29" ht="38" customHeight="1">
      <x:c r="A29" s="11" t="str">
        <x:v>S2</x:v>
      </x:c>
      <x:c r="B29" s="11" t="str">
        <x:v>战斗配置</x:v>
      </x:c>
      <x:c r="C29" s="30" t="str">
        <x:v>https://github.com/GoetheH/DoubleRobot/blob/1438d963fa8479d4e63a0555352092d4e74108a1/UnityProject/Assets/Resources/Authoring/Balance.asset</x:v>
      </x:c>
      <x:c r="D29" s="29"/>
      <x:c r="E29" s="29"/>
      <x:c r="F29" s="29"/>
      <x:c r="G29" s="2"/>
      <x:c r="H29" s="2"/>
    </x:row>
    <x:row r="30" ht="38" customHeight="1">
      <x:c r="A30" s="12" t="str">
        <x:v>S3</x:v>
      </x:c>
      <x:c r="B30" s="12" t="str">
        <x:v>战斗、升级与计分</x:v>
      </x:c>
      <x:c r="C30" s="28" t="str">
        <x:v>https://github.com/GoetheH/DoubleRobot/blob/1438d963fa8479d4e63a0555352092d4e74108a1/UnityProject/Assets/Scripts/NeonRun/NeonRun.cs</x:v>
      </x:c>
      <x:c r="D30" s="29"/>
      <x:c r="E30" s="29"/>
      <x:c r="F30" s="29"/>
      <x:c r="G30" s="2"/>
      <x:c r="H30" s="2"/>
    </x:row>
    <x:row r="31" ht="38" customHeight="1">
      <x:c r="A31" s="11" t="str">
        <x:v>S4</x:v>
      </x:c>
      <x:c r="B31" s="11" t="str">
        <x:v>出击与界面</x:v>
      </x:c>
      <x:c r="C31" s="30" t="str">
        <x:v>https://github.com/GoetheH/DoubleRobot/blob/1438d963fa8479d4e63a0555352092d4e74108a1/UnityProject/Assets/Scripts/NeonRun/DeploymentUI.cs</x:v>
      </x:c>
      <x:c r="D31" s="29"/>
      <x:c r="E31" s="29"/>
      <x:c r="F31" s="29"/>
      <x:c r="G31" s="2"/>
      <x:c r="H31" s="2"/>
    </x:row>
    <x:row r="32" ht="38" customHeight="1">
      <x:c r="A32" s="12" t="str">
        <x:v>S5</x:v>
      </x:c>
      <x:c r="B32" s="12" t="str">
        <x:v>技能、任务与结算</x:v>
      </x:c>
      <x:c r="C32" s="28" t="str">
        <x:v>https://github.com/GoetheH/DoubleRobot/blob/1438d963fa8479d4e63a0555352092d4e74108a1/UnityProject/Assets/Scripts/NeonRun/Campaign.cs</x:v>
      </x:c>
      <x:c r="D32" s="29"/>
      <x:c r="E32" s="29"/>
      <x:c r="F32" s="29"/>
      <x:c r="G32" s="2"/>
      <x:c r="H32" s="2"/>
    </x:row>
    <x:row r="33" ht="38" customHeight="1">
      <x:c r="A33" s="11" t="str">
        <x:v>S6-1</x:v>
      </x:c>
      <x:c r="B33" s="11" t="str">
        <x:v>第1关实际配置</x:v>
      </x:c>
      <x:c r="C33" s="30" t="str">
        <x:v>https://github.com/GoetheH/DoubleRobot/blob/1438d963fa8479d4e63a0555352092d4e74108a1/UnityProject/Assets/Resources/Authoring/Levels/Sector01.prefab</x:v>
      </x:c>
      <x:c r="D33" s="29"/>
      <x:c r="E33" s="29"/>
      <x:c r="F33" s="29"/>
      <x:c r="G33" s="2"/>
      <x:c r="H33" s="2"/>
    </x:row>
    <x:row r="34" ht="38" customHeight="1">
      <x:c r="A34" s="12" t="str">
        <x:v>S6-2</x:v>
      </x:c>
      <x:c r="B34" s="12" t="str">
        <x:v>第2关实际配置</x:v>
      </x:c>
      <x:c r="C34" s="28" t="str">
        <x:v>https://github.com/GoetheH/DoubleRobot/blob/1438d963fa8479d4e63a0555352092d4e74108a1/UnityProject/Assets/Resources/Authoring/Levels/Sector02.prefab</x:v>
      </x:c>
      <x:c r="D34" s="29"/>
      <x:c r="E34" s="29"/>
      <x:c r="F34" s="29"/>
      <x:c r="G34" s="2"/>
      <x:c r="H34" s="2"/>
    </x:row>
    <x:row r="35" ht="38" customHeight="1">
      <x:c r="A35" s="11" t="str">
        <x:v>S6-3</x:v>
      </x:c>
      <x:c r="B35" s="11" t="str">
        <x:v>第3关实际配置</x:v>
      </x:c>
      <x:c r="C35" s="30" t="str">
        <x:v>https://github.com/GoetheH/DoubleRobot/blob/1438d963fa8479d4e63a0555352092d4e74108a1/UnityProject/Assets/Resources/Authoring/Levels/Sector03.prefab</x:v>
      </x:c>
      <x:c r="D35" s="29"/>
      <x:c r="E35" s="29"/>
      <x:c r="F35" s="29"/>
      <x:c r="G35" s="2"/>
      <x:c r="H35" s="2"/>
    </x:row>
    <x:row r="36" ht="38" customHeight="1">
      <x:c r="A36" s="12" t="str">
        <x:v>S6-4</x:v>
      </x:c>
      <x:c r="B36" s="12" t="str">
        <x:v>第4关实际配置</x:v>
      </x:c>
      <x:c r="C36" s="28" t="str">
        <x:v>https://github.com/GoetheH/DoubleRobot/blob/1438d963fa8479d4e63a0555352092d4e74108a1/UnityProject/Assets/Resources/Authoring/Levels/Sector04.prefab</x:v>
      </x:c>
      <x:c r="D36" s="29"/>
      <x:c r="E36" s="29"/>
      <x:c r="F36" s="29"/>
      <x:c r="G36" s="2"/>
      <x:c r="H36" s="2"/>
    </x:row>
    <x:row r="37" ht="38" customHeight="1">
      <x:c r="A37" s="11" t="str">
        <x:v>S6-5</x:v>
      </x:c>
      <x:c r="B37" s="11" t="str">
        <x:v>第5关实际配置</x:v>
      </x:c>
      <x:c r="C37" s="30" t="str">
        <x:v>https://github.com/GoetheH/DoubleRobot/blob/1438d963fa8479d4e63a0555352092d4e74108a1/UnityProject/Assets/Resources/Authoring/Levels/Sector05.prefab</x:v>
      </x:c>
      <x:c r="D37" s="29"/>
      <x:c r="E37" s="29"/>
      <x:c r="F37" s="29"/>
      <x:c r="G37" s="2"/>
      <x:c r="H37" s="2"/>
    </x:row>
    <x:row r="38" ht="38" customHeight="1">
      <x:c r="A38" s="12" t="str">
        <x:v>S6-6</x:v>
      </x:c>
      <x:c r="B38" s="12" t="str">
        <x:v>第6关实际配置</x:v>
      </x:c>
      <x:c r="C38" s="28" t="str">
        <x:v>https://github.com/GoetheH/DoubleRobot/blob/1438d963fa8479d4e63a0555352092d4e74108a1/UnityProject/Assets/Resources/Authoring/Levels/Sector06.prefab</x:v>
      </x:c>
      <x:c r="D38" s="29"/>
      <x:c r="E38" s="29"/>
      <x:c r="F38" s="29"/>
      <x:c r="G38" s="2"/>
      <x:c r="H38" s="2"/>
    </x:row>
    <x:row r="39" ht="38" customHeight="1">
      <x:c r="A39" s="11" t="str">
        <x:v>S6-7</x:v>
      </x:c>
      <x:c r="B39" s="11" t="str">
        <x:v>第7关实际配置</x:v>
      </x:c>
      <x:c r="C39" s="30" t="str">
        <x:v>https://github.com/GoetheH/DoubleRobot/blob/1438d963fa8479d4e63a0555352092d4e74108a1/UnityProject/Assets/Resources/Authoring/Levels/Sector07.prefab</x:v>
      </x:c>
      <x:c r="D39" s="29"/>
      <x:c r="E39" s="29"/>
      <x:c r="F39" s="29"/>
      <x:c r="G39" s="2"/>
      <x:c r="H39" s="2"/>
    </x:row>
    <x:row r="40" ht="38" customHeight="1">
      <x:c r="A40" s="12" t="str">
        <x:v>S6-8</x:v>
      </x:c>
      <x:c r="B40" s="12" t="str">
        <x:v>第8关实际配置</x:v>
      </x:c>
      <x:c r="C40" s="28" t="str">
        <x:v>https://github.com/GoetheH/DoubleRobot/blob/1438d963fa8479d4e63a0555352092d4e74108a1/UnityProject/Assets/Resources/Authoring/Levels/Sector08.prefab</x:v>
      </x:c>
      <x:c r="D40" s="29"/>
      <x:c r="E40" s="29"/>
      <x:c r="F40" s="29"/>
      <x:c r="G40" s="2"/>
      <x:c r="H40" s="2"/>
    </x:row>
    <x:row r="41" ht="38" customHeight="1">
      <x:c r="A41" s="11" t="str">
        <x:v>S6</x:v>
      </x:c>
      <x:c r="B41" s="11" t="str">
        <x:v>关卡任务与配置结构</x:v>
      </x:c>
      <x:c r="C41" s="30" t="str">
        <x:v>https://github.com/GoetheH/DoubleRobot/blob/1438d963fa8479d4e63a0555352092d4e74108a1/UnityProject/Assets/Scripts/Authoring/StageLayout.cs</x:v>
      </x:c>
      <x:c r="D41" s="29"/>
      <x:c r="E41" s="29"/>
      <x:c r="F41" s="29"/>
      <x:c r="G41" s="2"/>
      <x:c r="H41" s="2"/>
    </x:row>
    <x:row r="42" ht="38" customHeight="1">
      <x:c r="A42" s="12" t="str">
        <x:v>S7</x:v>
      </x:c>
      <x:c r="B42" s="12" t="str">
        <x:v>全关卡美术记录</x:v>
      </x:c>
      <x:c r="C42" s="28" t="str">
        <x:v>https://github.com/GoetheH/DoubleRobot/blob/1438d963fa8479d4e63a0555352092d4e74108a1/美术样板/全关卡美术记录.md</x:v>
      </x:c>
      <x:c r="D42" s="29"/>
      <x:c r="E42" s="29"/>
      <x:c r="F42" s="29"/>
      <x:c r="G42" s="2"/>
      <x:c r="H42" s="2"/>
    </x:row>
    <x:row r="43" ht="38" customHeight="1">
      <x:c r="A43" s="11" t="str">
        <x:v>S8</x:v>
      </x:c>
      <x:c r="B43" s="11" t="str">
        <x:v>运行验证</x:v>
      </x:c>
      <x:c r="C43" s="30" t="str">
        <x:v>https://github.com/GoetheH/DoubleRobot/blob/1438d963fa8479d4e63a0555352092d4e74108a1/验证/runtime-validation.txt</x:v>
      </x:c>
      <x:c r="D43" s="29"/>
      <x:c r="E43" s="29"/>
      <x:c r="F43" s="29"/>
      <x:c r="G43" s="2"/>
      <x:c r="H43" s="2"/>
    </x:row>
    <x:row r="44" ht="38" customHeight="1">
      <x:c r="A44" s="12" t="str">
        <x:v>S9</x:v>
      </x:c>
      <x:c r="B44" s="12" t="str">
        <x:v>Unity 人工编辑指南</x:v>
      </x:c>
      <x:c r="C44" s="28" t="str">
        <x:v>https://github.com/GoetheH/DoubleRobot/blob/1438d963fa8479d4e63a0555352092d4e74108a1/Unity可视化编辑指南.md</x:v>
      </x:c>
      <x:c r="D44" s="29"/>
      <x:c r="E44" s="29"/>
      <x:c r="F44" s="29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8" customHeight="1">
      <x:c r="A48" s="14" t="str">
        <x:v>生产流程参考与文档修订</x:v>
      </x:c>
      <x:c r="B48" s="13"/>
      <x:c r="C48" s="13"/>
      <x:c r="D48" s="13"/>
      <x:c r="E48" s="13"/>
      <x:c r="F48" s="13"/>
      <x:c r="G48" s="13"/>
      <x:c r="H48" s="13"/>
    </x:row>
    <x:row r="49" ht="32" customHeight="1">
      <x:c r="A49" s="9" t="str">
        <x:v>编号</x:v>
      </x:c>
      <x:c r="B49" s="9" t="str">
        <x:v>资料</x:v>
      </x:c>
      <x:c r="C49" s="9" t="str">
        <x:v>公开地址或时间</x:v>
      </x:c>
      <x:c r="D49" s="9"/>
      <x:c r="E49" s="9" t="str">
        <x:v>本案如何使用</x:v>
      </x:c>
      <x:c r="F49" s="9"/>
      <x:c r="G49" s="9"/>
      <x:c r="H49" s="9"/>
    </x:row>
    <x:row r="50" ht="70" customHeight="1">
      <x:c r="A50" s="12" t="str">
        <x:v>P01</x:v>
      </x:c>
      <x:c r="B50" s="12" t="str">
        <x:v>Unity生产周期</x:v>
      </x:c>
      <x:c r="C50" s="12" t="str">
        <x:v>https://learn.unity.com/tutorial/the-real-time-production-cycle?version=2020.3</x:v>
      </x:c>
      <x:c r="D50" s="12"/>
      <x:c r="E50" s="12" t="str">
        <x:v>参考前期策划、制作、测试和运营的阶段职责；本案门禁为项目自行定义。</x:v>
      </x:c>
      <x:c r="F50" s="12"/>
      <x:c r="G50" s="12"/>
      <x:c r="H50" s="12"/>
    </x:row>
    <x:row r="51" ht="70" customHeight="1">
      <x:c r="A51" s="11" t="str">
        <x:v>P02</x:v>
      </x:c>
      <x:c r="B51" s="11" t="str">
        <x:v>Unity前期策划</x:v>
      </x:c>
      <x:c r="C51" s="11" t="str">
        <x:v>https://learn.unity.com/course/practical-game-accessibility/unit/project-pre-production</x:v>
      </x:c>
      <x:c r="D51" s="11"/>
      <x:c r="E51" s="11" t="str">
        <x:v>参考前期范围和无障碍规划，不作为具体排期依据。</x:v>
      </x:c>
      <x:c r="F51" s="11"/>
      <x:c r="G51" s="11"/>
      <x:c r="H51" s="11"/>
    </x:row>
    <x:row r="52" ht="70" customHeight="1">
      <x:c r="A52" s="12" t="str">
        <x:v>P03</x:v>
      </x:c>
      <x:c r="B52" s="12" t="str">
        <x:v>Xbox视觉对比</x:v>
      </x:c>
      <x:c r="C52" s="12" t="str">
        <x:v>https://learn.microsoft.com/en-us/xbox/accessibility/xbox-accessibility-guidelines/102</x:v>
      </x:c>
      <x:c r="D52" s="12"/>
      <x:c r="E52" s="12" t="str">
        <x:v>参考重要信息对比和避免只靠颜色的表达，本案并非Xbox认证文档。</x:v>
      </x:c>
      <x:c r="F52" s="12"/>
      <x:c r="G52" s="12"/>
      <x:c r="H52" s="12"/>
    </x:row>
    <x:row r="53" ht="70" customHeight="1">
      <x:c r="A53" s="11" t="str">
        <x:v>P04</x:v>
      </x:c>
      <x:c r="B53" s="11" t="str">
        <x:v>Unity半值取整</x:v>
      </x:c>
      <x:c r="C53" s="11" t="str">
        <x:v>https://docs.unity3d.com/2022.3/Documentation/ScriptReference/Mathf.RoundToInt.html</x:v>
      </x:c>
      <x:c r="D53" s="11"/>
      <x:c r="E53" s="11" t="str">
        <x:v>Mathf.RoundToInt在恰好半值时返回偶数，试算页模拟此规则。</x:v>
      </x:c>
      <x:c r="F53" s="11"/>
      <x:c r="G53" s="11"/>
      <x:c r="H53" s="11"/>
    </x:row>
    <x:row r="54" ht="70" customHeight="1">
      <x:c r="A54" s="12" t="str">
        <x:v>P05</x:v>
      </x:c>
      <x:c r="B54" s="12" t="str">
        <x:v>Xbox替代通道</x:v>
      </x:c>
      <x:c r="C54" s="12" t="str">
        <x:v>https://learn.microsoft.com/en-us/xbox/accessibility/xbox-accessibility-guidelines/103</x:v>
      </x:c>
      <x:c r="D54" s="12"/>
      <x:c r="E54" s="12" t="str">
        <x:v>参考声音与视觉重要提示的替代通道设计，不以只听声音或只辨颜色作为解题前提。</x:v>
      </x:c>
      <x:c r="F54" s="12"/>
      <x:c r="G54" s="12"/>
      <x:c r="H54" s="12"/>
    </x:row>
    <x:row r="55" ht="70" customHeight="1">
      <x:c r="A55" s="11" t="str">
        <x:v>R2</x:v>
      </x:c>
      <x:c r="B55" s="11" t="str">
        <x:v>修订记录</x:v>
      </x:c>
      <x:c r="C55" s="11" t="str">
        <x:v>2026-10-17</x:v>
      </x:c>
      <x:c r="D55" s="11"/>
      <x:c r="E55" s="11" t="str">
        <x:v>R1仅为基线清单；R2新增制作目标、规则边界、关卡分段、资源订单、依赖估算、执行用例与发布门禁。</x:v>
      </x:c>
      <x:c r="F55" s="11"/>
      <x:c r="G55" s="11"/>
      <x:c r="H55" s="11"/>
    </x:row>
    <x:row r="56" ht="70" customHeight="1">
      <x:c r="A56" s="12" t="str">
        <x:v>证据</x:v>
      </x:c>
      <x:c r="B56" s="12" t="str">
        <x:v>现状与计划</x:v>
      </x:c>
      <x:c r="C56" s="12" t="str">
        <x:v>现状取自1.1.1；流程网页核对日2026-10-17。</x:v>
      </x:c>
      <x:c r="D56" s="12"/>
      <x:c r="E56" s="12" t="str">
        <x:v>本轮只修改策划案，未重新运行游戏用例；所有计划任务和测试结果保持未启动/未执行。</x:v>
      </x:c>
      <x:c r="F56" s="12"/>
      <x:c r="G56" s="12"/>
      <x:c r="H56" s="1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</x:row>
    <x:row r="58" ht="28" customHeight="1">
      <x:c r="A58" s="14" t="str">
        <x:v>可编辑数据字段与程序约定</x:v>
      </x:c>
      <x:c r="B58" s="13"/>
      <x:c r="C58" s="13"/>
      <x:c r="D58" s="13"/>
      <x:c r="E58" s="13"/>
      <x:c r="F58" s="13"/>
      <x:c r="G58" s="13"/>
      <x:c r="H58" s="13"/>
    </x:row>
    <x:row r="59" ht="32" customHeight="1">
      <x:c r="A59" s="9" t="str">
        <x:v>配置类别</x:v>
      </x:c>
      <x:c r="B59" s="9" t="str">
        <x:v>字段</x:v>
      </x:c>
      <x:c r="C59" s="9" t="str">
        <x:v>类型</x:v>
      </x:c>
      <x:c r="D59" s="9" t="str">
        <x:v>当前示例</x:v>
      </x:c>
      <x:c r="E59" s="9" t="str">
        <x:v>人工编辑限制</x:v>
      </x:c>
      <x:c r="F59" s="9" t="str">
        <x:v>运行消费规则</x:v>
      </x:c>
      <x:c r="G59" s="2"/>
      <x:c r="H59" s="2"/>
    </x:row>
    <x:row r="60" ht="58" customHeight="1">
      <x:c r="A60" s="12" t="str">
        <x:v>Role</x:v>
      </x:c>
      <x:c r="B60" s="12" t="str">
        <x:v>duration</x:v>
      </x:c>
      <x:c r="C60" s="12" t="str">
        <x:v>float</x:v>
      </x:c>
      <x:c r="D60" s="41" t="n">
        <x:v>6</x:v>
      </x:c>
      <x:c r="E60" s="12" t="str">
        <x:v>大于0，侦察持续6秒</x:v>
      </x:c>
      <x:c r="F60" s="12" t="str">
        <x:v>技能、特效持续和职业页都读取配置</x:v>
      </x:c>
      <x:c r="G60" s="2"/>
      <x:c r="H60" s="2"/>
    </x:row>
    <x:row r="61" ht="58" customHeight="1">
      <x:c r="A61" s="11" t="str">
        <x:v>Role</x:v>
      </x:c>
      <x:c r="B61" s="11" t="str">
        <x:v>cooldown</x:v>
      </x:c>
      <x:c r="C61" s="11" t="str">
        <x:v>float</x:v>
      </x:c>
      <x:c r="D61" s="42" t="n">
        <x:v>6</x:v>
      </x:c>
      <x:c r="E61" s="11" t="str">
        <x:v>大于0，从施放开始计时</x:v>
      </x:c>
      <x:c r="F61" s="11" t="str">
        <x:v>技能就绪判断与职业页介绍</x:v>
      </x:c>
      <x:c r="G61" s="2"/>
      <x:c r="H61" s="2"/>
    </x:row>
    <x:row r="62" ht="58" customHeight="1">
      <x:c r="A62" s="12" t="str">
        <x:v>Role</x:v>
      </x:c>
      <x:c r="B62" s="12" t="str">
        <x:v>moveSpeed</x:v>
      </x:c>
      <x:c r="C62" s="12" t="str">
        <x:v>float</x:v>
      </x:c>
      <x:c r="D62" s="41" t="n">
        <x:v>8.6</x:v>
      </x:c>
      <x:c r="E62" s="12" t="str">
        <x:v>大于0，单位/秒</x:v>
      </x:c>
      <x:c r="F62" s="12" t="str">
        <x:v>职业基础移动；机枪再乘速度系数</x:v>
      </x:c>
      <x:c r="G62" s="2"/>
      <x:c r="H62" s="2"/>
    </x:row>
    <x:row r="63" ht="58" customHeight="1">
      <x:c r="A63" s="11" t="str">
        <x:v>Role</x:v>
      </x:c>
      <x:c r="B63" s="11" t="str">
        <x:v>scanRadius</x:v>
      </x:c>
      <x:c r="C63" s="11" t="str">
        <x:v>float</x:v>
      </x:c>
      <x:c r="D63" s="42" t="n">
        <x:v>14</x:v>
      </x:c>
      <x:c r="E63" s="11" t="str">
        <x:v>大于0，世界距离</x:v>
      </x:c>
      <x:c r="F63" s="11" t="str">
        <x:v>只在施放时筛选现有敌人</x:v>
      </x:c>
      <x:c r="G63" s="2"/>
      <x:c r="H63" s="2"/>
    </x:row>
    <x:row r="64" ht="58" customHeight="1">
      <x:c r="A64" s="12" t="str">
        <x:v>Role</x:v>
      </x:c>
      <x:c r="B64" s="12" t="str">
        <x:v>scanMultiplier</x:v>
      </x:c>
      <x:c r="C64" s="12" t="str">
        <x:v>float</x:v>
      </x:c>
      <x:c r="D64" s="41" t="n">
        <x:v>1.5</x:v>
      </x:c>
      <x:c r="E64" s="12" t="str">
        <x:v>不小于1，1.5代表+50%</x:v>
      </x:c>
      <x:c r="F64" s="12" t="str">
        <x:v>扫描目标枪械命中后增伤取整</x:v>
      </x:c>
      <x:c r="G64" s="2"/>
      <x:c r="H64" s="2"/>
    </x:row>
    <x:row r="65" ht="58" customHeight="1">
      <x:c r="A65" s="11" t="str">
        <x:v>Role</x:v>
      </x:c>
      <x:c r="B65" s="11" t="str">
        <x:v>healing</x:v>
      </x:c>
      <x:c r="C65" s="11" t="str">
        <x:v>int</x:v>
      </x:c>
      <x:c r="D65" s="42" t="n">
        <x:v>40</x:v>
      </x:c>
      <x:c r="E65" s="11" t="str">
        <x:v>仅医疗兵使用，不小于0</x:v>
      </x:c>
      <x:c r="F65" s="11" t="str">
        <x:v>瞬时回复，受到当前生命上限截断</x:v>
      </x:c>
      <x:c r="G65" s="2"/>
      <x:c r="H65" s="2"/>
    </x:row>
    <x:row r="66" ht="58" customHeight="1">
      <x:c r="A66" s="12" t="str">
        <x:v>Role</x:v>
      </x:c>
      <x:c r="B66" s="12" t="str">
        <x:v>turretDamage</x:v>
      </x:c>
      <x:c r="C66" s="12" t="str">
        <x:v>int</x:v>
      </x:c>
      <x:c r="D66" s="41" t="n">
        <x:v>22</x:v>
      </x:c>
      <x:c r="E66" s="12" t="str">
        <x:v>仅工程师炮台使用</x:v>
      </x:c>
      <x:c r="F66" s="12" t="str">
        <x:v>炮台子弹，排除扫描增伤</x:v>
      </x:c>
      <x:c r="G66" s="2"/>
      <x:c r="H66" s="2"/>
    </x:row>
    <x:row r="67" ht="58" customHeight="1">
      <x:c r="A67" s="11" t="str">
        <x:v>Role</x:v>
      </x:c>
      <x:c r="B67" s="11" t="str">
        <x:v>turretInterval</x:v>
      </x:c>
      <x:c r="C67" s="11" t="str">
        <x:v>float</x:v>
      </x:c>
      <x:c r="D67" s="42" t="n">
        <x:v>0.22</x:v>
      </x:c>
      <x:c r="E67" s="11" t="str">
        <x:v>大于0，秒</x:v>
      </x:c>
      <x:c r="F67" s="11" t="str">
        <x:v>最近目标自动攻击间隔</x:v>
      </x:c>
      <x:c r="G67" s="2"/>
      <x:c r="H67" s="2"/>
    </x:row>
    <x:row r="68" ht="58" customHeight="1">
      <x:c r="A68" s="12" t="str">
        <x:v>Gun</x:v>
      </x:c>
      <x:c r="B68" s="12" t="str">
        <x:v>damage</x:v>
      </x:c>
      <x:c r="C68" s="12" t="str">
        <x:v>int</x:v>
      </x:c>
      <x:c r="D68" s="41" t="n">
        <x:v>16</x:v>
      </x:c>
      <x:c r="E68" s="12" t="str">
        <x:v>至少1，步枪示例</x:v>
      </x:c>
      <x:c r="F68" s="12" t="str">
        <x:v>升级先作用于单弹伤害</x:v>
      </x:c>
      <x:c r="G68" s="2"/>
      <x:c r="H68" s="2"/>
    </x:row>
    <x:row r="69" ht="58" customHeight="1">
      <x:c r="A69" s="11" t="str">
        <x:v>Gun</x:v>
      </x:c>
      <x:c r="B69" s="11" t="str">
        <x:v>pellets</x:v>
      </x:c>
      <x:c r="C69" s="11" t="str">
        <x:v>int</x:v>
      </x:c>
      <x:c r="D69" s="42" t="n">
        <x:v>1</x:v>
      </x:c>
      <x:c r="E69" s="11" t="str">
        <x:v>至少1，霰弹基础7</x:v>
      </x:c>
      <x:c r="F69" s="11" t="str">
        <x:v>分裂升级额外增加等级×2</x:v>
      </x:c>
      <x:c r="G69" s="2"/>
      <x:c r="H69" s="2"/>
    </x:row>
    <x:row r="70" ht="58" customHeight="1">
      <x:c r="A70" s="12" t="str">
        <x:v>Gun</x:v>
      </x:c>
      <x:c r="B70" s="12" t="str">
        <x:v>interval</x:v>
      </x:c>
      <x:c r="C70" s="12" t="str">
        <x:v>float</x:v>
      </x:c>
      <x:c r="D70" s="41" t="n">
        <x:v>0.145</x:v>
      </x:c>
      <x:c r="E70" s="12" t="str">
        <x:v>大于0，秒</x:v>
      </x:c>
      <x:c r="F70" s="12" t="str">
        <x:v>实际间隔除以射速升级系数</x:v>
      </x:c>
      <x:c r="G70" s="2"/>
      <x:c r="H70" s="2"/>
    </x:row>
    <x:row r="71" ht="58" customHeight="1">
      <x:c r="A71" s="11" t="str">
        <x:v>Gun</x:v>
      </x:c>
      <x:c r="B71" s="11" t="str">
        <x:v>speed</x:v>
      </x:c>
      <x:c r="C71" s="11" t="str">
        <x:v>float</x:v>
      </x:c>
      <x:c r="D71" s="42" t="n">
        <x:v>28</x:v>
      </x:c>
      <x:c r="E71" s="11" t="str">
        <x:v>大于0，世界单位/秒</x:v>
      </x:c>
      <x:c r="F71" s="11" t="str">
        <x:v>乘寿命得到不计碰撞的理论最大射程</x:v>
      </x:c>
      <x:c r="G71" s="2"/>
      <x:c r="H71" s="2"/>
    </x:row>
    <x:row r="72" ht="58" customHeight="1">
      <x:c r="A72" s="12" t="str">
        <x:v>Gun</x:v>
      </x:c>
      <x:c r="B72" s="12" t="str">
        <x:v>lifetime</x:v>
      </x:c>
      <x:c r="C72" s="12" t="str">
        <x:v>float</x:v>
      </x:c>
      <x:c r="D72" s="41" t="n">
        <x:v>1.5</x:v>
      </x:c>
      <x:c r="E72" s="12" t="str">
        <x:v>大于0，秒</x:v>
      </x:c>
      <x:c r="F72" s="12" t="str">
        <x:v>弹丸寿命到期或边界触发时销毁</x:v>
      </x:c>
      <x:c r="G72" s="2"/>
      <x:c r="H72" s="2"/>
    </x:row>
    <x:row r="73" ht="58" customHeight="1">
      <x:c r="A73" s="11" t="str">
        <x:v>Gun</x:v>
      </x:c>
      <x:c r="B73" s="11" t="str">
        <x:v>penetration</x:v>
      </x:c>
      <x:c r="C73" s="11" t="str">
        <x:v>bool</x:v>
      </x:c>
      <x:c r="D73" s="43" t="b">
        <x:v>0</x:v>
      </x:c>
      <x:c r="E73" s="11" t="str">
        <x:v>狙击示例为true</x:v>
      </x:c>
      <x:c r="F73" s="11" t="str">
        <x:v>命中后是否继续；同弹同敌只结算一次</x:v>
      </x:c>
      <x:c r="G73" s="2"/>
      <x:c r="H73" s="2"/>
    </x:row>
    <x:row r="74" ht="58" customHeight="1">
      <x:c r="A74" s="12" t="str">
        <x:v>Gun</x:v>
      </x:c>
      <x:c r="B74" s="12" t="str">
        <x:v>distanceFalloff</x:v>
      </x:c>
      <x:c r="C74" s="12" t="str">
        <x:v>bool</x:v>
      </x:c>
      <x:c r="D74" s="44" t="b">
        <x:v>0</x:v>
      </x:c>
      <x:c r="E74" s="12" t="str">
        <x:v>霰弹为true</x:v>
      </x:c>
      <x:c r="F74" s="12" t="str">
        <x:v>按行进距离衰减，并先于扫描取整</x:v>
      </x:c>
      <x:c r="G74" s="2"/>
      <x:c r="H74" s="2"/>
    </x:row>
    <x:row r="75" ht="58" customHeight="1">
      <x:c r="A75" s="11" t="str">
        <x:v>Gun</x:v>
      </x:c>
      <x:c r="B75" s="11" t="str">
        <x:v>usesHeat</x:v>
      </x:c>
      <x:c r="C75" s="11" t="str">
        <x:v>bool</x:v>
      </x:c>
      <x:c r="D75" s="43" t="b">
        <x:v>0</x:v>
      </x:c>
      <x:c r="E75" s="11" t="str">
        <x:v>机枪为true</x:v>
      </x:c>
      <x:c r="F75" s="11" t="str">
        <x:v>积热锁定且影响持枪移动系数</x:v>
      </x:c>
      <x:c r="G75" s="2"/>
      <x:c r="H75" s="2"/>
    </x:row>
    <x:row r="76" ht="58" customHeight="1">
      <x:c r="A76" s="12" t="str">
        <x:v>Gun</x:v>
      </x:c>
      <x:c r="B76" s="12" t="str">
        <x:v>artwork</x:v>
      </x:c>
      <x:c r="C76" s="12" t="str">
        <x:v>Texture2D</x:v>
      </x:c>
      <x:c r="D76" s="41" t="str">
        <x:v>PNG引用</x:v>
      </x:c>
      <x:c r="E76" s="12" t="str">
        <x:v>右朝向，保留握持与枪口参照</x:v>
      </x:c>
      <x:c r="F76" s="12" t="str">
        <x:v>运行时加载持久资源，不在启动时重画</x:v>
      </x:c>
      <x:c r="G76" s="2"/>
      <x:c r="H76" s="2"/>
    </x:row>
    <x:row r="77" ht="58" customHeight="1">
      <x:c r="A77" s="11" t="str">
        <x:v>Difficulty</x:v>
      </x:c>
      <x:c r="B77" s="11" t="str">
        <x:v>health/damage</x:v>
      </x:c>
      <x:c r="C77" s="11" t="str">
        <x:v>float</x:v>
      </x:c>
      <x:c r="D77" s="42" t="str">
        <x:v>1 / 1</x:v>
      </x:c>
      <x:c r="E77" s="11" t="str">
        <x:v>均大于0</x:v>
      </x:c>
      <x:c r="F77" s="11" t="str">
        <x:v>敌人生命和伤害倍率，伤害按运行逻辑取整</x:v>
      </x:c>
      <x:c r="G77" s="2"/>
      <x:c r="H77" s="2"/>
    </x:row>
    <x:row r="78" ht="58" customHeight="1">
      <x:c r="A78" s="12" t="str">
        <x:v>Difficulty</x:v>
      </x:c>
      <x:c r="B78" s="12" t="str">
        <x:v>attackInterval</x:v>
      </x:c>
      <x:c r="C78" s="12" t="str">
        <x:v>float</x:v>
      </x:c>
      <x:c r="D78" s="41" t="n">
        <x:v>1</x:v>
      </x:c>
      <x:c r="E78" s="12" t="str">
        <x:v>大于0，值大代表更慢</x:v>
      </x:c>
      <x:c r="F78" s="12" t="str">
        <x:v>普通攻击与Boss间隔乘此倍率</x:v>
      </x:c>
      <x:c r="G78" s="2"/>
      <x:c r="H78" s="2"/>
    </x:row>
    <x:row r="79" ht="58" customHeight="1">
      <x:c r="A79" s="11" t="str">
        <x:v>StageLayout</x:v>
      </x:c>
      <x:c r="B79" s="11" t="str">
        <x:v>goal</x:v>
      </x:c>
      <x:c r="C79" s="11" t="str">
        <x:v>enum</x:v>
      </x:c>
      <x:c r="D79" s="42" t="str">
        <x:v>0/1/2/3</x:v>
      </x:c>
      <x:c r="E79" s="11" t="str">
        <x:v>清敌/收集/机关/Boss与机关</x:v>
      </x:c>
      <x:c r="F79" s="11" t="str">
        <x:v>决定目标完成判断，不用地图出口位置代替</x:v>
      </x:c>
      <x:c r="G79" s="2"/>
      <x:c r="H79" s="2"/>
    </x:row>
    <x:row r="80" ht="58" customHeight="1">
      <x:c r="A80" s="12" t="str">
        <x:v>StageLayout</x:v>
      </x:c>
      <x:c r="B80" s="12" t="str">
        <x:v>autoFinish</x:v>
      </x:c>
      <x:c r="C80" s="12" t="str">
        <x:v>bool</x:v>
      </x:c>
      <x:c r="D80" s="44" t="b">
        <x:v>1</x:v>
      </x:c>
      <x:c r="E80" s="12" t="str">
        <x:v>终关使用true</x:v>
      </x:c>
      <x:c r="F80" s="12" t="str">
        <x:v>满足全部目标即原地胜利，非终关保持传送门流程</x:v>
      </x:c>
      <x:c r="G80" s="2"/>
      <x:c r="H80" s="2"/>
    </x:row>
    <x:row r="81" ht="58" customHeight="1">
      <x:c r="A81" s="11" t="str">
        <x:v>StageLayout</x:v>
      </x:c>
      <x:c r="B81" s="11" t="str">
        <x:v>enemyQuota</x:v>
      </x:c>
      <x:c r="C81" s="11" t="str">
        <x:v>int</x:v>
      </x:c>
      <x:c r="D81" s="42" t="n">
        <x:v>8</x:v>
      </x:c>
      <x:c r="E81" s="11" t="str">
        <x:v>至少0，第一关示例</x:v>
      </x:c>
      <x:c r="F81" s="11" t="str">
        <x:v>清敌关判断需已生成配额且敌人数为0</x:v>
      </x:c>
      <x:c r="G81" s="2"/>
      <x:c r="H81" s="2"/>
    </x:row>
    <x:row r="82" ht="58" customHeight="1">
      <x:c r="A82" s="12" t="str">
        <x:v>StageLayout</x:v>
      </x:c>
      <x:c r="B82" s="12" t="str">
        <x:v>bossHealth</x:v>
      </x:c>
      <x:c r="C82" s="12" t="str">
        <x:v>float</x:v>
      </x:c>
      <x:c r="D82" s="41" t="n">
        <x:v>1250</x:v>
      </x:c>
      <x:c r="E82" s="12" t="str">
        <x:v>大于0，仅hasBoss关有效</x:v>
      </x:c>
      <x:c r="F82" s="12" t="str">
        <x:v>Boss实际生命另乘难度生命倍率</x:v>
      </x:c>
      <x:c r="G82" s="2"/>
      <x:c r="H82" s="2"/>
    </x:row>
    <x:row r="83" ht="58" customHeight="1">
      <x:c r="A83" s="11" t="str">
        <x:v>StageLayout</x:v>
      </x:c>
      <x:c r="B83" s="11" t="str">
        <x:v>switchOrder</x:v>
      </x:c>
      <x:c r="C83" s="11" t="str">
        <x:v>int[]</x:v>
      </x:c>
      <x:c r="D83" s="42" t="str">
        <x:v>1,0,2</x:v>
      </x:c>
      <x:c r="E83" s="11" t="str">
        <x:v>对应order从0开始，每个机关恰好一次</x:v>
      </x:c>
      <x:c r="F83" s="11" t="str">
        <x:v>显示II-I-III；错误重置sequence</x:v>
      </x:c>
      <x:c r="G83" s="2"/>
      <x:c r="H83" s="2"/>
    </x:row>
    <x:row r="84" ht="58" customHeight="1">
      <x:c r="A84" s="12" t="str">
        <x:v>StageElement</x:v>
      </x:c>
      <x:c r="B84" s="12" t="str">
        <x:v>kind</x:v>
      </x:c>
      <x:c r="C84" s="12" t="str">
        <x:v>enum</x:v>
      </x:c>
      <x:c r="D84" s="41" t="str">
        <x:v>0—7</x:v>
      </x:c>
      <x:c r="E84" s="12" t="str">
        <x:v>平台/出生/出口/物品/机关/Boss/敌人/装饰</x:v>
      </x:c>
      <x:c r="F84" s="12" t="str">
        <x:v>新增部件要正确设置类型，不能只摆图</x:v>
      </x:c>
      <x:c r="G84" s="2"/>
      <x:c r="H84" s="2"/>
    </x:row>
    <x:row r="85" ht="58" customHeight="1">
      <x:c r="A85" s="11" t="str">
        <x:v>StageElement</x:v>
      </x:c>
      <x:c r="B85" s="11" t="str">
        <x:v>order</x:v>
      </x:c>
      <x:c r="C85" s="11" t="str">
        <x:v>int</x:v>
      </x:c>
      <x:c r="D85" s="42" t="n">
        <x:v>0</x:v>
      </x:c>
      <x:c r="E85" s="11" t="str">
        <x:v>机关编号连续且不重复</x:v>
      </x:c>
      <x:c r="F85" s="11" t="str">
        <x:v>必须与switchOrder匹配，缺失会阻止构建验证</x:v>
      </x:c>
      <x:c r="G85" s="2"/>
      <x:c r="H85" s="2"/>
    </x:row>
    <x:row r="86" ht="58" customHeight="1">
      <x:c r="A86" s="12" t="str">
        <x:v>Transform</x:v>
      </x:c>
      <x:c r="B86" s="12" t="str">
        <x:v>position/scale</x:v>
      </x:c>
      <x:c r="C86" s="12" t="str">
        <x:v>Vector3</x:v>
      </x:c>
      <x:c r="D86" s="41" t="str">
        <x:v>Scene编辑</x:v>
      </x:c>
      <x:c r="E86" s="12" t="str">
        <x:v>关卡根保持原点、单位缩放与零旋转</x:v>
      </x:c>
      <x:c r="F86" s="12" t="str">
        <x:v>移动内部部件；平台必须轴对齐且尺寸为正</x:v>
      </x:c>
      <x:c r="G86" s="2"/>
      <x:c r="H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</x:row>
  </x:sheetData>
  <x:mergeCells>
    <x:mergeCell ref="C28:F28"/>
    <x:mergeCell ref="C29:F29"/>
    <x:mergeCell ref="C30:F30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C40:F40"/>
    <x:mergeCell ref="C41:F41"/>
    <x:mergeCell ref="C42:F42"/>
    <x:mergeCell ref="C43:F43"/>
    <x:mergeCell ref="C44:F44"/>
    <x:mergeCell ref="C49:D49"/>
    <x:mergeCell ref="E49:H49"/>
    <x:mergeCell ref="C50:D50"/>
    <x:mergeCell ref="E50:H50"/>
    <x:mergeCell ref="C51:D51"/>
    <x:mergeCell ref="E51:H51"/>
    <x:mergeCell ref="C52:D52"/>
    <x:mergeCell ref="E52:H52"/>
    <x:mergeCell ref="C53:D53"/>
    <x:mergeCell ref="E53:H53"/>
    <x:mergeCell ref="C54:D54"/>
    <x:mergeCell ref="E54:H54"/>
    <x:mergeCell ref="C55:D55"/>
    <x:mergeCell ref="E55:H55"/>
    <x:mergeCell ref="C56:D56"/>
    <x:mergeCell ref="E56:H56"/>
  </x:mergeCells>
  <x:pageMargins left="0.7" right="0.7" top="0.75" bottom="0.75" header="0.3" footer="0.3"/>
</x:worksheet>
</file>